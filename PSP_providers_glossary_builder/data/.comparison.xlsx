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ycharmProjects\glossary-builder-local-v7\PSP_providers_glossary_builder\data\"/>
    </mc:Choice>
  </mc:AlternateContent>
  <xr:revisionPtr revIDLastSave="0" documentId="13_ncr:1_{FDF8354B-4819-42BF-BB09-9E448919952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verall" sheetId="1" r:id="rId1"/>
    <sheet name="By grou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2" l="1"/>
  <c r="D45" i="2"/>
  <c r="C45" i="2"/>
  <c r="C44" i="2"/>
  <c r="C43" i="2"/>
  <c r="E40" i="2"/>
  <c r="D40" i="2" a="1"/>
  <c r="D40" i="2" s="1"/>
  <c r="C40" i="2" s="1"/>
  <c r="C39" i="2"/>
  <c r="C34" i="2"/>
  <c r="C38" i="2"/>
  <c r="C37" i="2"/>
  <c r="C36" i="2"/>
  <c r="C35" i="2"/>
  <c r="C33" i="2"/>
  <c r="C32" i="2"/>
  <c r="J12" i="1"/>
  <c r="K12" i="1" s="1"/>
  <c r="J9" i="1"/>
  <c r="K9" i="1" s="1"/>
  <c r="K3" i="1"/>
  <c r="J10" i="1"/>
  <c r="K10" i="1" s="1"/>
  <c r="J7" i="1"/>
  <c r="K7" i="1"/>
  <c r="J8" i="1"/>
  <c r="K8" i="1" s="1"/>
  <c r="C23" i="2"/>
  <c r="E29" i="2"/>
  <c r="D29" i="2" a="1"/>
  <c r="D29" i="2" s="1"/>
  <c r="C28" i="2"/>
  <c r="C27" i="2"/>
  <c r="C26" i="2"/>
  <c r="C25" i="2"/>
  <c r="C24" i="2"/>
  <c r="J6" i="1"/>
  <c r="K6" i="1" s="1"/>
  <c r="J5" i="1"/>
  <c r="K5" i="1" s="1"/>
  <c r="B5" i="1"/>
  <c r="J4" i="1"/>
  <c r="J3" i="1"/>
  <c r="E22" i="2"/>
  <c r="D22" i="2" a="1"/>
  <c r="D22" i="2" s="1"/>
  <c r="C22" i="2" s="1"/>
  <c r="C21" i="2"/>
  <c r="C20" i="2"/>
  <c r="C19" i="2"/>
  <c r="C18" i="2"/>
  <c r="C17" i="2"/>
  <c r="C16" i="2"/>
  <c r="E8" i="2"/>
  <c r="D8" i="2" a="1"/>
  <c r="D8" i="2" s="1"/>
  <c r="C8" i="2" s="1"/>
  <c r="E15" i="2"/>
  <c r="D15" i="2" a="1"/>
  <c r="D15" i="2" s="1"/>
  <c r="C15" i="2" s="1"/>
  <c r="C4" i="2"/>
  <c r="C5" i="2"/>
  <c r="C6" i="2"/>
  <c r="C7" i="2"/>
  <c r="C11" i="2"/>
  <c r="C12" i="2"/>
  <c r="C13" i="2"/>
  <c r="C14" i="2"/>
  <c r="B4" i="1"/>
  <c r="C10" i="2"/>
  <c r="C9" i="2"/>
  <c r="C3" i="2"/>
  <c r="C2" i="2"/>
  <c r="C29" i="2" l="1"/>
  <c r="K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<sst xmlns="http://schemas.openxmlformats.org/spreadsheetml/2006/main" count="73" uniqueCount="38">
  <si>
    <t>default</t>
  </si>
  <si>
    <t>price on test df</t>
  </si>
  <si>
    <t>f1</t>
  </si>
  <si>
    <t>recall</t>
  </si>
  <si>
    <t>precision</t>
  </si>
  <si>
    <t>a1</t>
  </si>
  <si>
    <t>a2</t>
  </si>
  <si>
    <t>b1</t>
  </si>
  <si>
    <t>b2</t>
  </si>
  <si>
    <t>b3</t>
  </si>
  <si>
    <t>b4</t>
  </si>
  <si>
    <t>group</t>
  </si>
  <si>
    <t>сколько</t>
  </si>
  <si>
    <t>из</t>
  </si>
  <si>
    <t>v1</t>
  </si>
  <si>
    <t>За 1 пример</t>
  </si>
  <si>
    <t>test df</t>
  </si>
  <si>
    <t>точность</t>
  </si>
  <si>
    <t>количество лидов за неделю</t>
  </si>
  <si>
    <t>всего примеров</t>
  </si>
  <si>
    <t>цена на них</t>
  </si>
  <si>
    <t>sum</t>
  </si>
  <si>
    <t>v2</t>
  </si>
  <si>
    <t>v3</t>
  </si>
  <si>
    <t>v4</t>
  </si>
  <si>
    <t>fin</t>
  </si>
  <si>
    <t>на данных за 3 дня</t>
  </si>
  <si>
    <t>найдено лидов</t>
  </si>
  <si>
    <t>среди них мусор</t>
  </si>
  <si>
    <t>fin with gemini as a judge</t>
  </si>
  <si>
    <t>За месяц</t>
  </si>
  <si>
    <t>v5</t>
  </si>
  <si>
    <t>with client review</t>
  </si>
  <si>
    <t>71 (уникальных)</t>
  </si>
  <si>
    <t>client review</t>
  </si>
  <si>
    <t>a0</t>
  </si>
  <si>
    <t>b0</t>
  </si>
  <si>
    <t>with 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</si>
</sst>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activeCell="G14" sqref="G14"/>
    </sheetView>
  </sheetViews>
  <sheetFormatPr defaultRowHeight="14.4" x14ac:dyDescent="0.3"/>
  <cols>
    <col min="1" max="1" width="21.6640625" bestFit="1" customWidth="1"/>
    <col min="2" max="2" width="13.33203125" bestFit="1" customWidth="1"/>
    <col min="3" max="3" width="6" bestFit="1" customWidth="1"/>
    <col min="4" max="4" width="5.44140625" bestFit="1" customWidth="1"/>
    <col min="5" max="5" width="8.33203125" bestFit="1" customWidth="1"/>
    <col min="6" max="6" width="31.77734375" bestFit="1" customWidth="1"/>
    <col min="7" max="7" width="16.21875" customWidth="1"/>
    <col min="8" max="8" width="14.77734375" bestFit="1" customWidth="1"/>
    <col min="9" max="10" width="13.5546875" bestFit="1" customWidth="1"/>
    <col min="11" max="11" width="12.109375" bestFit="1" customWidth="1"/>
  </cols>
  <sheetData>
    <row r="1" spans="1:11" x14ac:dyDescent="0.3">
      <c r="B1" s="6" t="s">
        <v>16</v>
      </c>
      <c r="C1" s="6"/>
      <c r="D1" s="6"/>
      <c r="E1" s="6"/>
      <c r="F1" s="6" t="s">
        <v>26</v>
      </c>
      <c r="G1" s="6"/>
      <c r="H1" s="6"/>
    </row>
    <row r="2" spans="1:11" x14ac:dyDescent="0.3">
      <c r="B2" t="s">
        <v>1</v>
      </c>
      <c r="C2" t="s">
        <v>2</v>
      </c>
      <c r="D2" t="s">
        <v>3</v>
      </c>
      <c r="E2" t="s">
        <v>4</v>
      </c>
      <c r="F2" s="1" t="s">
        <v>27</v>
      </c>
      <c r="G2" s="1" t="s">
        <v>28</v>
      </c>
      <c r="H2" s="1" t="s">
        <v>19</v>
      </c>
      <c r="I2" s="1" t="s">
        <v>20</v>
      </c>
      <c r="J2" t="s">
        <v>15</v>
      </c>
      <c r="K2" t="s">
        <v>30</v>
      </c>
    </row>
    <row r="3" spans="1:11" x14ac:dyDescent="0.3">
      <c r="A3" t="s">
        <v>0</v>
      </c>
      <c r="B3">
        <v>4.0000000000000001E-3</v>
      </c>
      <c r="C3">
        <v>0.61</v>
      </c>
      <c r="D3">
        <v>0.44</v>
      </c>
      <c r="E3">
        <v>1</v>
      </c>
      <c r="F3" s="1">
        <v>25</v>
      </c>
      <c r="G3" s="1"/>
      <c r="H3" s="1">
        <v>89651</v>
      </c>
      <c r="I3" s="1">
        <v>0.04</v>
      </c>
      <c r="J3" s="2">
        <f>I3/H3</f>
        <v>4.4617461043379328E-7</v>
      </c>
      <c r="K3">
        <f>J3*659765</f>
        <v>0.29437039185285163</v>
      </c>
    </row>
    <row r="4" spans="1:11" x14ac:dyDescent="0.3">
      <c r="A4" t="s">
        <v>14</v>
      </c>
      <c r="B4">
        <f>0.00165+0.00658+0.00452+0.00214</f>
        <v>1.4889999999999999E-2</v>
      </c>
      <c r="C4">
        <v>0.81399999999999995</v>
      </c>
      <c r="D4">
        <v>0.7</v>
      </c>
      <c r="E4">
        <v>0.97199999999999998</v>
      </c>
      <c r="F4" s="1"/>
      <c r="G4" s="1"/>
      <c r="H4" s="1">
        <v>89651</v>
      </c>
      <c r="I4" s="1"/>
      <c r="J4" s="2">
        <f>I4/H4</f>
        <v>0</v>
      </c>
      <c r="K4">
        <f>J4*800000</f>
        <v>0</v>
      </c>
    </row>
    <row r="5" spans="1:11" x14ac:dyDescent="0.3">
      <c r="A5" t="s">
        <v>22</v>
      </c>
      <c r="B5">
        <f>0.00165+0.00658+0.00452+0.00214</f>
        <v>1.4889999999999999E-2</v>
      </c>
      <c r="C5">
        <v>0.84099999999999997</v>
      </c>
      <c r="D5">
        <v>0.74</v>
      </c>
      <c r="E5">
        <v>0.97399999999999998</v>
      </c>
      <c r="F5" s="1"/>
      <c r="G5" s="1"/>
      <c r="H5" s="1">
        <v>89651</v>
      </c>
      <c r="I5" s="1"/>
      <c r="J5" s="2">
        <f>I5/H5</f>
        <v>0</v>
      </c>
      <c r="K5">
        <f>J5*800000</f>
        <v>0</v>
      </c>
    </row>
    <row r="6" spans="1:11" x14ac:dyDescent="0.3">
      <c r="A6" t="s">
        <v>23</v>
      </c>
      <c r="B6">
        <v>2.4400000000000002E-2</v>
      </c>
      <c r="C6">
        <v>0.92600000000000005</v>
      </c>
      <c r="D6">
        <v>0.88</v>
      </c>
      <c r="E6">
        <v>0.97799999999999998</v>
      </c>
      <c r="F6" s="1"/>
      <c r="G6" s="1"/>
      <c r="H6" s="1">
        <v>89651</v>
      </c>
      <c r="I6" s="1"/>
      <c r="J6" s="2">
        <f>I6/H6</f>
        <v>0</v>
      </c>
      <c r="K6">
        <f>J6*800000</f>
        <v>0</v>
      </c>
    </row>
    <row r="7" spans="1:11" x14ac:dyDescent="0.3">
      <c r="A7" t="s">
        <v>24</v>
      </c>
      <c r="B7">
        <v>0.04</v>
      </c>
      <c r="C7">
        <v>0.85399999999999998</v>
      </c>
      <c r="D7">
        <v>0.76</v>
      </c>
      <c r="E7">
        <v>0.97399999999999998</v>
      </c>
      <c r="F7" s="1"/>
      <c r="G7" s="1"/>
      <c r="H7" s="1">
        <v>89651</v>
      </c>
      <c r="I7" s="1"/>
      <c r="J7" s="2">
        <f t="shared" ref="J7:J8" si="0">I7/H7</f>
        <v>0</v>
      </c>
      <c r="K7">
        <f t="shared" ref="K7:K8" si="1">J7*800000</f>
        <v>0</v>
      </c>
    </row>
    <row r="8" spans="1:11" x14ac:dyDescent="0.3">
      <c r="A8" t="s">
        <v>31</v>
      </c>
      <c r="B8">
        <v>0.04</v>
      </c>
      <c r="C8">
        <v>0.96899999999999997</v>
      </c>
      <c r="D8">
        <v>0.94</v>
      </c>
      <c r="E8">
        <v>1</v>
      </c>
      <c r="F8" s="1">
        <v>324</v>
      </c>
      <c r="G8" s="1"/>
      <c r="H8" s="1">
        <v>89651</v>
      </c>
      <c r="I8" s="1">
        <v>0.79800000000000004</v>
      </c>
      <c r="J8" s="2">
        <f t="shared" si="0"/>
        <v>8.9011834781541769E-6</v>
      </c>
      <c r="K8">
        <f t="shared" si="1"/>
        <v>7.1209467825233412</v>
      </c>
    </row>
    <row r="9" spans="1:11" x14ac:dyDescent="0.3">
      <c r="A9" t="s">
        <v>25</v>
      </c>
      <c r="H9" s="1">
        <v>89651</v>
      </c>
      <c r="I9">
        <v>0.96</v>
      </c>
      <c r="J9" s="2">
        <f t="shared" ref="J9" si="2">I9/H9</f>
        <v>1.0708190650411038E-5</v>
      </c>
      <c r="K9">
        <f t="shared" ref="K9" si="3">J9*800000</f>
        <v>8.5665525203288304</v>
      </c>
    </row>
    <row r="10" spans="1:11" x14ac:dyDescent="0.3">
      <c r="A10" t="s">
        <v>29</v>
      </c>
      <c r="H10" s="1">
        <v>89651</v>
      </c>
      <c r="J10" s="2">
        <f t="shared" ref="J10:J12" si="4">I10/H10</f>
        <v>0</v>
      </c>
      <c r="K10">
        <f>J10*800000</f>
        <v>0</v>
      </c>
    </row>
    <row r="12" spans="1:11" x14ac:dyDescent="0.3">
      <c r="A12" t="s">
        <v>32</v>
      </c>
      <c r="C12">
        <v>0.79400000000000004</v>
      </c>
      <c r="D12">
        <v>0.71399999999999997</v>
      </c>
      <c r="E12">
        <v>0.89500000000000002</v>
      </c>
      <c r="F12" s="4" t="s">
        <v>33</v>
      </c>
      <c r="H12" s="1">
        <v>89651</v>
      </c>
      <c r="I12">
        <v>0.82499999999999996</v>
      </c>
      <c r="J12" s="2">
        <f t="shared" si="4"/>
        <v>9.2023513401969863E-6</v>
      </c>
      <c r="K12">
        <f>J12*800000</f>
        <v>7.3618810721575887</v>
      </c>
    </row>
  </sheetData>
  <mergeCells count="2">
    <mergeCell ref="B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47DED-EB41-4BD6-A9DC-1DF1EE3288C5}">
  <dimension ref="A1:F45"/>
  <sheetViews>
    <sheetView tabSelected="1" topLeftCell="A28" workbookViewId="0">
      <selection activeCell="H47" sqref="H47"/>
    </sheetView>
  </sheetViews>
  <sheetFormatPr defaultRowHeight="14.4" x14ac:dyDescent="0.3"/>
  <cols>
    <col min="6" max="6" width="26.44140625" bestFit="1" customWidth="1"/>
  </cols>
  <sheetData>
    <row r="1" spans="1:6" x14ac:dyDescent="0.3">
      <c r="A1" s="3"/>
      <c r="B1" s="3" t="s">
        <v>11</v>
      </c>
      <c r="C1" s="3" t="s">
        <v>17</v>
      </c>
      <c r="D1" s="3" t="s">
        <v>12</v>
      </c>
      <c r="E1" s="3" t="s">
        <v>13</v>
      </c>
      <c r="F1" s="3" t="s">
        <v>18</v>
      </c>
    </row>
    <row r="2" spans="1:6" x14ac:dyDescent="0.3">
      <c r="A2" s="5" t="s">
        <v>0</v>
      </c>
      <c r="B2" s="3" t="s">
        <v>5</v>
      </c>
      <c r="C2" s="3">
        <f>D2/E2</f>
        <v>0.75</v>
      </c>
      <c r="D2" s="3">
        <v>15</v>
      </c>
      <c r="E2" s="3">
        <v>20</v>
      </c>
      <c r="F2" s="5">
        <v>70</v>
      </c>
    </row>
    <row r="3" spans="1:6" x14ac:dyDescent="0.3">
      <c r="A3" s="5"/>
      <c r="B3" s="3" t="s">
        <v>6</v>
      </c>
      <c r="C3" s="3">
        <f>D3/E3</f>
        <v>0.23333333333333334</v>
      </c>
      <c r="D3" s="3">
        <v>7</v>
      </c>
      <c r="E3" s="3">
        <v>30</v>
      </c>
      <c r="F3" s="5"/>
    </row>
    <row r="4" spans="1:6" x14ac:dyDescent="0.3">
      <c r="A4" s="5"/>
      <c r="B4" s="3" t="s">
        <v>7</v>
      </c>
      <c r="C4" s="3">
        <f t="shared" ref="C4:C6" si="0">1-D4/E4</f>
        <v>1</v>
      </c>
      <c r="D4" s="3">
        <v>0</v>
      </c>
      <c r="E4" s="3">
        <v>30</v>
      </c>
      <c r="F4" s="5"/>
    </row>
    <row r="5" spans="1:6" x14ac:dyDescent="0.3">
      <c r="A5" s="5"/>
      <c r="B5" s="3" t="s">
        <v>8</v>
      </c>
      <c r="C5" s="3">
        <f t="shared" si="0"/>
        <v>1</v>
      </c>
      <c r="D5" s="3">
        <v>0</v>
      </c>
      <c r="E5" s="3">
        <v>15</v>
      </c>
      <c r="F5" s="5"/>
    </row>
    <row r="6" spans="1:6" x14ac:dyDescent="0.3">
      <c r="A6" s="5"/>
      <c r="B6" s="3" t="s">
        <v>9</v>
      </c>
      <c r="C6" s="3">
        <f t="shared" si="0"/>
        <v>1</v>
      </c>
      <c r="D6" s="3">
        <v>0</v>
      </c>
      <c r="E6" s="3">
        <v>25</v>
      </c>
      <c r="F6" s="5"/>
    </row>
    <row r="7" spans="1:6" x14ac:dyDescent="0.3">
      <c r="A7" s="5"/>
      <c r="B7" s="3" t="s">
        <v>10</v>
      </c>
      <c r="C7" s="3">
        <f>1-D7/E7</f>
        <v>1</v>
      </c>
      <c r="D7" s="3">
        <v>0</v>
      </c>
      <c r="E7" s="3">
        <v>3</v>
      </c>
      <c r="F7" s="5"/>
    </row>
    <row r="8" spans="1:6" x14ac:dyDescent="0.3">
      <c r="A8" s="5"/>
      <c r="B8" s="3" t="s">
        <v>21</v>
      </c>
      <c r="C8" s="3">
        <f>D8/E8</f>
        <v>0.77235772357723576</v>
      </c>
      <c r="D8" s="3" cm="1">
        <f t="array" ref="D8">SUM(D2:D3)+SUM(E4:E7-D4:D7)</f>
        <v>95</v>
      </c>
      <c r="E8" s="3">
        <f>SUM(E2:E7)</f>
        <v>123</v>
      </c>
      <c r="F8" s="5"/>
    </row>
    <row r="9" spans="1:6" x14ac:dyDescent="0.3">
      <c r="A9" s="5" t="s">
        <v>14</v>
      </c>
      <c r="B9" s="3" t="s">
        <v>5</v>
      </c>
      <c r="C9" s="3">
        <f>D9/E9</f>
        <v>0.75</v>
      </c>
      <c r="D9" s="3">
        <v>15</v>
      </c>
      <c r="E9" s="3">
        <v>20</v>
      </c>
      <c r="F9" s="5"/>
    </row>
    <row r="10" spans="1:6" x14ac:dyDescent="0.3">
      <c r="A10" s="5"/>
      <c r="B10" s="3" t="s">
        <v>6</v>
      </c>
      <c r="C10" s="3">
        <f>D10/E10</f>
        <v>0.66666666666666663</v>
      </c>
      <c r="D10" s="3">
        <v>20</v>
      </c>
      <c r="E10" s="3">
        <v>30</v>
      </c>
      <c r="F10" s="5"/>
    </row>
    <row r="11" spans="1:6" x14ac:dyDescent="0.3">
      <c r="A11" s="5"/>
      <c r="B11" s="3" t="s">
        <v>7</v>
      </c>
      <c r="C11" s="3">
        <f t="shared" ref="C11:C13" si="1">1-D11/E11</f>
        <v>1</v>
      </c>
      <c r="D11" s="3">
        <v>0</v>
      </c>
      <c r="E11" s="3">
        <v>30</v>
      </c>
      <c r="F11" s="5"/>
    </row>
    <row r="12" spans="1:6" x14ac:dyDescent="0.3">
      <c r="A12" s="5"/>
      <c r="B12" s="3" t="s">
        <v>8</v>
      </c>
      <c r="C12" s="3">
        <f t="shared" si="1"/>
        <v>1</v>
      </c>
      <c r="D12" s="3">
        <v>0</v>
      </c>
      <c r="E12" s="3">
        <v>15</v>
      </c>
      <c r="F12" s="5"/>
    </row>
    <row r="13" spans="1:6" x14ac:dyDescent="0.3">
      <c r="A13" s="5"/>
      <c r="B13" s="3" t="s">
        <v>9</v>
      </c>
      <c r="C13" s="3">
        <f t="shared" si="1"/>
        <v>1</v>
      </c>
      <c r="D13" s="3">
        <v>0</v>
      </c>
      <c r="E13" s="3">
        <v>25</v>
      </c>
      <c r="F13" s="5"/>
    </row>
    <row r="14" spans="1:6" x14ac:dyDescent="0.3">
      <c r="A14" s="5"/>
      <c r="B14" s="3" t="s">
        <v>10</v>
      </c>
      <c r="C14" s="3">
        <f>1-D14/E14</f>
        <v>0.66666666666666674</v>
      </c>
      <c r="D14" s="3">
        <v>1</v>
      </c>
      <c r="E14" s="3">
        <v>3</v>
      </c>
      <c r="F14" s="5"/>
    </row>
    <row r="15" spans="1:6" x14ac:dyDescent="0.3">
      <c r="A15" s="5"/>
      <c r="B15" s="3" t="s">
        <v>21</v>
      </c>
      <c r="C15" s="3">
        <f>D15/E15</f>
        <v>0.86991869918699183</v>
      </c>
      <c r="D15" s="3" cm="1">
        <f t="array" ref="D15">SUM(D9:D10)+SUM(E11:E14-D11:D14)</f>
        <v>107</v>
      </c>
      <c r="E15" s="3">
        <f>SUM(E9:E14)</f>
        <v>123</v>
      </c>
      <c r="F15" s="5"/>
    </row>
    <row r="16" spans="1:6" x14ac:dyDescent="0.3">
      <c r="A16" s="5" t="s">
        <v>22</v>
      </c>
      <c r="B16" s="3" t="s">
        <v>5</v>
      </c>
      <c r="C16" s="3">
        <f>D16/E16</f>
        <v>0.75</v>
      </c>
      <c r="D16" s="3">
        <v>15</v>
      </c>
      <c r="E16" s="3">
        <v>20</v>
      </c>
      <c r="F16" s="5"/>
    </row>
    <row r="17" spans="1:6" x14ac:dyDescent="0.3">
      <c r="A17" s="5"/>
      <c r="B17" s="3" t="s">
        <v>6</v>
      </c>
      <c r="C17" s="3">
        <f>D17/E17</f>
        <v>0.73333333333333328</v>
      </c>
      <c r="D17" s="3">
        <v>22</v>
      </c>
      <c r="E17" s="3">
        <v>30</v>
      </c>
      <c r="F17" s="5"/>
    </row>
    <row r="18" spans="1:6" x14ac:dyDescent="0.3">
      <c r="A18" s="5"/>
      <c r="B18" s="3" t="s">
        <v>7</v>
      </c>
      <c r="C18" s="3">
        <f t="shared" ref="C18:C20" si="2">1-D18/E18</f>
        <v>1</v>
      </c>
      <c r="D18" s="3">
        <v>0</v>
      </c>
      <c r="E18" s="3">
        <v>30</v>
      </c>
      <c r="F18" s="5"/>
    </row>
    <row r="19" spans="1:6" x14ac:dyDescent="0.3">
      <c r="A19" s="5"/>
      <c r="B19" s="3" t="s">
        <v>8</v>
      </c>
      <c r="C19" s="3">
        <f t="shared" si="2"/>
        <v>1</v>
      </c>
      <c r="D19" s="3">
        <v>0</v>
      </c>
      <c r="E19" s="3">
        <v>15</v>
      </c>
      <c r="F19" s="5"/>
    </row>
    <row r="20" spans="1:6" x14ac:dyDescent="0.3">
      <c r="A20" s="5"/>
      <c r="B20" s="3" t="s">
        <v>9</v>
      </c>
      <c r="C20" s="3">
        <f t="shared" si="2"/>
        <v>1</v>
      </c>
      <c r="D20" s="3">
        <v>0</v>
      </c>
      <c r="E20" s="3">
        <v>25</v>
      </c>
      <c r="F20" s="5"/>
    </row>
    <row r="21" spans="1:6" x14ac:dyDescent="0.3">
      <c r="A21" s="5"/>
      <c r="B21" s="3" t="s">
        <v>10</v>
      </c>
      <c r="C21" s="3">
        <f>1-D21/E21</f>
        <v>0.66666666666666674</v>
      </c>
      <c r="D21" s="3">
        <v>1</v>
      </c>
      <c r="E21" s="3">
        <v>3</v>
      </c>
      <c r="F21" s="5"/>
    </row>
    <row r="22" spans="1:6" x14ac:dyDescent="0.3">
      <c r="A22" s="5"/>
      <c r="B22" s="3" t="s">
        <v>21</v>
      </c>
      <c r="C22" s="3">
        <f>D22/E22</f>
        <v>0.88617886178861793</v>
      </c>
      <c r="D22" s="3" cm="1">
        <f t="array" ref="D22">SUM(D16:D17)+SUM(E18:E21-D18:D21)</f>
        <v>109</v>
      </c>
      <c r="E22" s="3">
        <f>SUM(E16:E21)</f>
        <v>123</v>
      </c>
      <c r="F22" s="5"/>
    </row>
    <row r="23" spans="1:6" x14ac:dyDescent="0.3">
      <c r="A23" s="5" t="s">
        <v>25</v>
      </c>
      <c r="B23" s="3" t="s">
        <v>5</v>
      </c>
      <c r="C23" s="3">
        <f>D23/E23</f>
        <v>0.95</v>
      </c>
      <c r="D23" s="3">
        <v>19</v>
      </c>
      <c r="E23" s="3">
        <v>20</v>
      </c>
      <c r="F23" s="5"/>
    </row>
    <row r="24" spans="1:6" x14ac:dyDescent="0.3">
      <c r="A24" s="5"/>
      <c r="B24" s="3" t="s">
        <v>6</v>
      </c>
      <c r="C24" s="3">
        <f>D24/E24</f>
        <v>0.93333333333333335</v>
      </c>
      <c r="D24" s="3">
        <v>28</v>
      </c>
      <c r="E24" s="3">
        <v>30</v>
      </c>
      <c r="F24" s="5"/>
    </row>
    <row r="25" spans="1:6" x14ac:dyDescent="0.3">
      <c r="A25" s="5"/>
      <c r="B25" s="3" t="s">
        <v>7</v>
      </c>
      <c r="C25" s="3">
        <f t="shared" ref="C25:C27" si="3">1-D25/E25</f>
        <v>1</v>
      </c>
      <c r="D25" s="3">
        <v>0</v>
      </c>
      <c r="E25" s="3">
        <v>30</v>
      </c>
      <c r="F25" s="5"/>
    </row>
    <row r="26" spans="1:6" x14ac:dyDescent="0.3">
      <c r="A26" s="5"/>
      <c r="B26" s="3" t="s">
        <v>8</v>
      </c>
      <c r="C26" s="3">
        <f t="shared" si="3"/>
        <v>1</v>
      </c>
      <c r="D26" s="3">
        <v>0</v>
      </c>
      <c r="E26" s="3">
        <v>15</v>
      </c>
      <c r="F26" s="5"/>
    </row>
    <row r="27" spans="1:6" x14ac:dyDescent="0.3">
      <c r="A27" s="5"/>
      <c r="B27" s="3" t="s">
        <v>9</v>
      </c>
      <c r="C27" s="3">
        <f t="shared" si="3"/>
        <v>1</v>
      </c>
      <c r="D27" s="3">
        <v>0</v>
      </c>
      <c r="E27" s="3">
        <v>25</v>
      </c>
      <c r="F27" s="5"/>
    </row>
    <row r="28" spans="1:6" x14ac:dyDescent="0.3">
      <c r="A28" s="5"/>
      <c r="B28" s="3" t="s">
        <v>10</v>
      </c>
      <c r="C28" s="3">
        <f>1-D28/E28</f>
        <v>1</v>
      </c>
      <c r="D28" s="3">
        <v>0</v>
      </c>
      <c r="E28" s="3">
        <v>3</v>
      </c>
      <c r="F28" s="5"/>
    </row>
    <row r="29" spans="1:6" x14ac:dyDescent="0.3">
      <c r="A29" s="5"/>
      <c r="B29" s="3" t="s">
        <v>21</v>
      </c>
      <c r="C29" s="3">
        <f>D29/E29</f>
        <v>0.97560975609756095</v>
      </c>
      <c r="D29" s="3" cm="1">
        <f t="array" ref="D29">SUM(D23:D24)+SUM(E25:E28-D25:D28)</f>
        <v>120</v>
      </c>
      <c r="E29" s="3">
        <f>SUM(E23:E28)</f>
        <v>123</v>
      </c>
      <c r="F29" s="5"/>
    </row>
    <row r="32" spans="1:6" x14ac:dyDescent="0.3">
      <c r="A32" s="5" t="s">
        <v>34</v>
      </c>
      <c r="B32" s="3" t="s">
        <v>5</v>
      </c>
      <c r="C32" s="3">
        <f>D32/E32</f>
        <v>0.65</v>
      </c>
      <c r="D32" s="3">
        <v>13</v>
      </c>
      <c r="E32" s="3">
        <v>20</v>
      </c>
      <c r="F32" s="5">
        <v>71</v>
      </c>
    </row>
    <row r="33" spans="1:6" x14ac:dyDescent="0.3">
      <c r="A33" s="5"/>
      <c r="B33" s="3" t="s">
        <v>6</v>
      </c>
      <c r="C33" s="3">
        <f>D33/E33</f>
        <v>0.83333333333333337</v>
      </c>
      <c r="D33" s="3">
        <v>25</v>
      </c>
      <c r="E33" s="3">
        <v>30</v>
      </c>
      <c r="F33" s="5"/>
    </row>
    <row r="34" spans="1:6" x14ac:dyDescent="0.3">
      <c r="A34" s="5"/>
      <c r="B34" s="3" t="s">
        <v>35</v>
      </c>
      <c r="C34" s="3">
        <f>D34/E34</f>
        <v>0.6811594202898551</v>
      </c>
      <c r="D34" s="3">
        <v>47</v>
      </c>
      <c r="E34" s="3">
        <v>69</v>
      </c>
      <c r="F34" s="5"/>
    </row>
    <row r="35" spans="1:6" x14ac:dyDescent="0.3">
      <c r="A35" s="5"/>
      <c r="B35" s="3" t="s">
        <v>7</v>
      </c>
      <c r="C35" s="3">
        <f t="shared" ref="C35:C37" si="4">1-D35/E35</f>
        <v>1</v>
      </c>
      <c r="D35" s="3">
        <v>0</v>
      </c>
      <c r="E35" s="3">
        <v>30</v>
      </c>
      <c r="F35" s="5"/>
    </row>
    <row r="36" spans="1:6" x14ac:dyDescent="0.3">
      <c r="A36" s="5"/>
      <c r="B36" s="3" t="s">
        <v>8</v>
      </c>
      <c r="C36" s="3">
        <f t="shared" si="4"/>
        <v>1</v>
      </c>
      <c r="D36" s="3">
        <v>0</v>
      </c>
      <c r="E36" s="3">
        <v>15</v>
      </c>
      <c r="F36" s="5"/>
    </row>
    <row r="37" spans="1:6" x14ac:dyDescent="0.3">
      <c r="A37" s="5"/>
      <c r="B37" s="3" t="s">
        <v>9</v>
      </c>
      <c r="C37" s="3">
        <f t="shared" si="4"/>
        <v>1</v>
      </c>
      <c r="D37" s="3">
        <v>0</v>
      </c>
      <c r="E37" s="3">
        <v>25</v>
      </c>
      <c r="F37" s="5"/>
    </row>
    <row r="38" spans="1:6" x14ac:dyDescent="0.3">
      <c r="A38" s="5"/>
      <c r="B38" s="3" t="s">
        <v>10</v>
      </c>
      <c r="C38" s="3">
        <f>1-D38/E38</f>
        <v>0.66666666666666674</v>
      </c>
      <c r="D38" s="3">
        <v>1</v>
      </c>
      <c r="E38" s="3">
        <v>3</v>
      </c>
      <c r="F38" s="5"/>
    </row>
    <row r="39" spans="1:6" x14ac:dyDescent="0.3">
      <c r="A39" s="5"/>
      <c r="B39" s="3" t="s">
        <v>36</v>
      </c>
      <c r="C39" s="3">
        <f>1-D39/E39</f>
        <v>0.70967741935483875</v>
      </c>
      <c r="D39" s="3">
        <v>9</v>
      </c>
      <c r="E39" s="3">
        <v>31</v>
      </c>
      <c r="F39" s="5"/>
    </row>
    <row r="40" spans="1:6" x14ac:dyDescent="0.3">
      <c r="A40" s="5"/>
      <c r="B40" s="3" t="s">
        <v>21</v>
      </c>
      <c r="C40" s="3">
        <f>D40/E40</f>
        <v>0.80269058295964124</v>
      </c>
      <c r="D40" s="3" cm="1">
        <f t="array" ref="D40">SUM(D32:D34)+SUM(E35:E39-D35:D39)</f>
        <v>179</v>
      </c>
      <c r="E40" s="3">
        <f>SUM(E32:E39)</f>
        <v>223</v>
      </c>
      <c r="F40" s="5"/>
    </row>
    <row r="43" spans="1:6" x14ac:dyDescent="0.3">
      <c r="A43" s="7" t="s">
        <v>37</v>
      </c>
      <c r="B43" t="s">
        <v>35</v>
      </c>
      <c r="C43" s="3">
        <f>D43/E43</f>
        <v>0.75362318840579712</v>
      </c>
      <c r="D43">
        <v>52</v>
      </c>
      <c r="E43">
        <v>69</v>
      </c>
    </row>
    <row r="44" spans="1:6" x14ac:dyDescent="0.3">
      <c r="A44" s="7"/>
      <c r="B44" t="s">
        <v>36</v>
      </c>
      <c r="C44" s="3">
        <f t="shared" ref="C44" si="5">1-D44/E44</f>
        <v>0.58064516129032251</v>
      </c>
      <c r="D44">
        <v>13</v>
      </c>
      <c r="E44">
        <v>31</v>
      </c>
    </row>
    <row r="45" spans="1:6" x14ac:dyDescent="0.3">
      <c r="B45" s="3" t="s">
        <v>21</v>
      </c>
      <c r="C45" s="3">
        <f>D45/E45</f>
        <v>0.7</v>
      </c>
      <c r="D45" s="3">
        <f>SUM(D43)+SUM(E44-D44)</f>
        <v>70</v>
      </c>
      <c r="E45" s="3">
        <f>SUM(E43:E44)</f>
        <v>100</v>
      </c>
    </row>
  </sheetData>
  <mergeCells count="11">
    <mergeCell ref="A43:A44"/>
    <mergeCell ref="A32:A40"/>
    <mergeCell ref="F32:F40"/>
    <mergeCell ref="F2:F8"/>
    <mergeCell ref="A2:A8"/>
    <mergeCell ref="A16:A22"/>
    <mergeCell ref="F16:F22"/>
    <mergeCell ref="A23:A29"/>
    <mergeCell ref="F23:F29"/>
    <mergeCell ref="A9:A15"/>
    <mergeCell ref="F9:F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Overall</vt:lpstr>
      <vt:lpstr>By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Кальченко</dc:creator>
  <cp:lastModifiedBy>Кальченко Артем</cp:lastModifiedBy>
  <dcterms:created xsi:type="dcterms:W3CDTF">2015-06-05T18:19:34Z</dcterms:created>
  <dcterms:modified xsi:type="dcterms:W3CDTF">2026-08-21T14:29:48Z</dcterms:modified>
</cp:coreProperties>
</file>