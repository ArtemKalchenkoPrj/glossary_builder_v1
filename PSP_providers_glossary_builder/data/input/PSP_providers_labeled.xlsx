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charmProjects\glossary-builder-local-v7\PSP_providers_glossary_builder\data\input\"/>
    </mc:Choice>
  </mc:AlternateContent>
  <xr:revisionPtr revIDLastSave="0" documentId="13_ncr:1_{0749027D-72AD-4C94-94DE-13D8BF78D8B8}" xr6:coauthVersionLast="47" xr6:coauthVersionMax="47" xr10:uidLastSave="{00000000-0000-0000-0000-000000000000}"/>
  <bookViews>
    <workbookView xWindow="-108" yWindow="-108" windowWidth="23256" windowHeight="12456" xr2:uid="{00000000-000D-0000-FFFF-FFFF00000000}"/>
  </bookViews>
  <sheets>
    <sheet name="Примеры" sheetId="1" r:id="rId1"/>
    <sheet name="Саммари" sheetId="2" r:id="rId2"/>
    <sheet name="То что идет на раг"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B8" i="2"/>
  <c r="E8" i="2"/>
  <c r="F8" i="2"/>
  <c r="A1" i="3" a="1"/>
  <c r="A1" i="3" s="1"/>
  <c r="L2" i="2"/>
  <c r="I2" i="2"/>
  <c r="J2" i="2"/>
  <c r="D8" i="2" l="1"/>
  <c r="K2" i="2"/>
  <c r="F12" i="2"/>
  <c r="E11" i="2"/>
  <c r="E12" i="2"/>
  <c r="F11" i="2"/>
  <c r="B12" i="2"/>
  <c r="B11" i="2"/>
  <c r="F4" i="2"/>
  <c r="B7" i="2"/>
  <c r="F5" i="2"/>
  <c r="C3" i="2"/>
  <c r="B4" i="2"/>
  <c r="F6" i="2"/>
  <c r="F7" i="2"/>
  <c r="C5" i="2"/>
  <c r="E2" i="2"/>
  <c r="F2" i="2"/>
  <c r="C6" i="2"/>
  <c r="B2" i="2"/>
  <c r="E3" i="2"/>
  <c r="C2" i="2"/>
  <c r="E6" i="2"/>
  <c r="E4" i="2"/>
  <c r="B6" i="2"/>
  <c r="E5" i="2"/>
  <c r="B5" i="2"/>
  <c r="E7" i="2"/>
  <c r="B3" i="2"/>
  <c r="F3" i="2"/>
  <c r="C7" i="2"/>
  <c r="C4" i="2"/>
  <c r="C13" i="2" l="1"/>
  <c r="B13" i="2"/>
  <c r="F13" i="2"/>
  <c r="E13" i="2"/>
  <c r="D4" i="2"/>
  <c r="D7" i="2"/>
  <c r="D6" i="2"/>
  <c r="D5" i="2"/>
  <c r="D3" i="2"/>
  <c r="D2" i="2"/>
  <c r="D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<sst xmlns="http://schemas.openxmlformats.org/spreadsheetml/2006/main" count="723" uniqueCount="247">
  <si>
    <t>text</t>
  </si>
  <si>
    <t>group</t>
  </si>
  <si>
    <t>label</t>
  </si>
  <si>
    <t>A1</t>
  </si>
  <si>
    <t>A2</t>
  </si>
  <si>
    <t>B1</t>
  </si>
  <si>
    <t>B2</t>
  </si>
  <si>
    <t>B3</t>
  </si>
  <si>
    <t>count</t>
  </si>
  <si>
    <t>#Selling #Payment 
Kunga — licensed PSP 
89% approval rate | Any industry | Fast Onboarding | T+0
**Local Accounts:** EEUU 🇺🇸, EU (LUX) 🇪🇺, UK 🇬🇧, MX 🇲🇽, CO 🇨🇴, BRA (PIX) 🇧🇷 , AR 🇦🇷
SEPA / SWIFT</t>
  </si>
  <si>
    <t>#selling #Payment  Psp for FTD!
Ftd details EU 
Retention iban solution
De iban ( local),Gb,LU,LT, viban FR</t>
  </si>
  <si>
    <t>#selling #Payment  Psp for ftds!
90%+ approval - au, NZ, eu and more 👌
Weekly settlements , instant setup✅✅✅
DM for more information‼️</t>
  </si>
  <si>
    <t>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</si>
  <si>
    <t>Всем привет!
Мы предоставляем стабильные платежные решения для турецкого рынка с минимальными чеками:
100 TL (индивидуальный запрос)
500 TL
1000 TL
Conversion Rate 92,7–94,6%.
Пишите в личные сообщения!</t>
  </si>
  <si>
    <t>#selling 
worldwide tier 1 psp good approve rate 
many local apms (europe asia africa latam)
instant setup</t>
  </si>
  <si>
    <t>Hi everyone!
We are PSP RV-AXIS.
Our solutions: RUB OST (high-risk player payments | low-risk salary project) 🇷🇺 CIS 🇰🇿🇰🇬🇺🇿🇦🇿 KRW 🇰🇷 CNY 🇨🇳 AUD 🇦🇺 and others.
We are happy to discuss cooperation.</t>
  </si>
  <si>
    <t>1. Пригласила @kamillas2p
2. Кратко о себе: 
- имя: Ирина
- должность Head of BizDev
- PSP, NDA</t>
  </si>
  <si>
    <t>❤️[**COLIBRIX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t>
  </si>
  <si>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t>
  </si>
  <si>
    <t>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</si>
  <si>
    <t>#Selling #psp
P**ayments Solutions**
API &amp; Checkout Page
back-office **dashboard**</t>
  </si>
  <si>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t>
  </si>
  <si>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</si>
  <si>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</si>
  <si>
    <t>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t>
  </si>
  <si>
    <t>#selling #Payment High risk merchant processing 
Gaming, fx , crypto , recovery 
ALL GEOS, HIGH APPROVAL✅ 
Weekly and bi weekly settlements !</t>
  </si>
  <si>
    <t>PSP for your FTDs - Visa / MasterCard
86% acceptance rate
Weekly payouts in USDT TRC20
Available for your quick upsells up to $5000 per client.
No KYC needed.</t>
  </si>
  <si>
    <t>#gmatch 
Всем привет,
Мы Incas - платежный провайдер со стабильными Р2Р решениями в более 10 Гео. 
У нас высокие конверсии, работаем с любыми объемами.
Буду рад встретиться и обсудить возможности сотрудничества 🤝</t>
  </si>
  <si>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</si>
  <si>
    <t>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t>
  </si>
  <si>
    <t>Hello Everyone, OnyxGate PSP have Korean D0 and India D1 with Intent at prices that will suprise you. Forex/Adult/Gambling accepted. If you are interested DM me.</t>
  </si>
  <si>
    <t>Hello everyone,
OnyxGate PSP now offers Korean D0 and India D1 with Intent at highly competitive rates that may surprise you.
✅ Forex accepted
✅ Adult accepted
✅ Gambling accepted
We also cover the entire SEA region.
If you're interested or have any questions, feel free to send me a DM.</t>
  </si>
  <si>
    <t>#Gmatch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t>
  </si>
  <si>
    <t>out of</t>
  </si>
  <si>
    <t>remains</t>
  </si>
  <si>
    <t>I need payment gateway for inr, pkr and bdt</t>
  </si>
  <si>
    <t>Good afternoon, everyone! We're looking for a solution for Korea. Please send your proposals via private message.</t>
  </si>
  <si>
    <t>Всем привет!
Фарм-партнёрка (дженерики), ищем процессинг.
ГЕО: EU + US · Visa/MC · Apple/Google Pay · первичка+вторичка, низкий CB.
Есть что заводить. Пишите в ЛС 🤝 @PILLTOP_Partners</t>
  </si>
  <si>
    <t>Всем привет
У кого есть JCB, Neteller, Skrill  Trustly, POLi - напишите, плиз, в личку🙏🤝</t>
  </si>
  <si>
    <t>Ищем платежных провайдеров для iGaming по GEO:  India,  Nigeria,  South Africa
 Brazil,  Mexico,  Argentina,  Colombia,  Indonesia,  Philippines.
Если работаете с этими GEO  пишите в ЛС, обсудим сотрудничество.</t>
  </si>
  <si>
    <t>Если у вас есть возможность предоставить POS-терминалы с поддержкой NFC и решения SoftPOS (например, NGenius), срочно напишите мне в личные сообщения. Я работаю ежедневно и готов предоставить подтверждение своей деятельности.</t>
  </si>
  <si>
    <t>UK EU P2P &amp; P2C and GCC P2C bank providers for a very large entity!
Advanced deposit ONLY 
-🇮🇳RTGS bank provider in India!
T+0 ONLY, as much volume as you can handle.
High limits required.
Text this Octopus with your offers 🐙</t>
  </si>
  <si>
    <t>Всем привет
Ищем BinancePay</t>
  </si>
  <si>
    <t>Hi everyone,
I’m looking for a reliable **PSP / payment solution for Israel 🇮🇱**.
Main requirements:
• 💳 Local card acquiring / card solution
• 🍎 Apple Pay
• 🤖 Google Pay
• 🇮🇱 Local Israeli payment methods
• Support for both **FTD &amp; STD**
• Good approval rates and stable processing</t>
  </si>
  <si>
    <t>Всем привет!
Коллеги, подскажите, кто имеет опыт работы с методом PlayID?
У кого можно взять?</t>
  </si>
  <si>
    <t>Нужна приемка Грузия 🇬🇪
Трансгран с другой страны 
Связь в лс 
Канал с заявками в БИО</t>
  </si>
  <si>
    <t>Здравствуйте!
Рассмотрю офферы на DE, CH, AT
CC, AGpay, Bank Transfer, Paysafecard, EPS, Skrill, Neteller, Rapid, Revolut
Оператор
Пишите в лс, пожалуйста)</t>
  </si>
  <si>
    <t>Коллеги, всем изобилия! 
Подскажите проверенные решения на Грузию?</t>
  </si>
  <si>
    <t>Коллеги, привет! Подскажите, пожалуйста, у кого есть хороший опыт по карточному покрытию на FD (SD само собой)?
В первую очередь интересуют Германия, Австрия, Италия и Бельгия, далее остальная Европа. Буду благодарен за рекомендации, отзывы или контакты, если есть проверенные варианты в лс.</t>
  </si>
  <si>
    <t>Коллеги, всем доброго дня!
Есть ли у кого-то рабочие решения на приём еком Казахстан (первчика FTD и вторчика TD)?</t>
  </si>
  <si>
    <t>Коллеги, всем прекрасного понедельника!
Поделитесь, пожалуйста, офферами в лс на РУ с трансграном на Вьетнам через QR.</t>
  </si>
  <si>
    <t>Привет
У кого есть решения на Колумбию и Уругвай напишите в лс пожалуйста</t>
  </si>
  <si>
    <t>Hello team 👋🏻 
We are looking for solutions
In : 
Chile 🇨🇱 
Brazil 🇧🇷 (boleto , pix ) 
Local accounts, high limits per transaction.  C2b 
Dm me 💻</t>
  </si>
  <si>
    <t>Всем привет! Если у кого то AGpay есть в евро по UK  FTD\STD  - напишите в личку пж</t>
  </si>
  <si>
    <t>Привет
У кого есть решения на Боливию напишите в лс пожалуйста</t>
  </si>
  <si>
    <t>Ищу приемку по Чехии 🇨🇿
Деп 5к$ 
Объем 1кк крон в сутки
Трафик кц
@bigbobbyyy</t>
  </si>
  <si>
    <t>Hey 
DB looking for strong  ZA en
Push me in DM</t>
  </si>
  <si>
    <t>Hello, everyone - can someone recommend me a good wire solution they're working with? I'm looking for BE, DE and CH</t>
  </si>
  <si>
    <t>Нужна команда по Куарам РФ 🇷🇺
🤩 Приоритет : TRAVEL 
Но,также рассмотрим предложения по другим QR
⚫️Объем дадим 
🚗Деп +++ 
Связь в лс 
Канал с заявками в БИО</t>
  </si>
  <si>
    <t>Нужна приемка РФ 🇷🇺
КАССЫ 
ЛОКАЛ 
Чардж от недели 
% хороший 
Работа строго под депозит
Связь в лс 
Канал с заявками в БИО</t>
  </si>
  <si>
    <t>Need a indian payment gateway can anyone connect?</t>
  </si>
  <si>
    <t>Привет! есть кто работает на схемам гео TR ?</t>
  </si>
  <si>
    <t>#buying UK EU P2P &amp; P2C and GCC P2C bank providers for a very large entity!
Advanced deposit ONLY 
Text this Octopus for details!</t>
  </si>
  <si>
    <t>Коллеги, всем доброго вечера! Ищу решения для Европы, UK
А также для Австралии, Канады, Новой Зеландии интересны решения в локальных валютах</t>
  </si>
  <si>
    <t>B4</t>
  </si>
  <si>
    <t>[context] **📆 Что обсуждалось вчера 01.07.2026 **
Всего было написано **39 сообщений**
💳 Поиск решений и контактов в платежной сфере ([20 сообщений](https://t.me/c/1602583765/26591))
🛠️ Тестирование демо и качество сервисов ([6 сообщений](https://t.me/c/1602583765/26622))
⚠️ Отзыв о платежных системах и их недостатках ([5 сообщений](https://t.me/c/1602583765/26352/26630))
👔 Поиск C-уровня специалиста в платежной сфере ([4 сообщений](https://t.me/c/1602583765/26597))
⚡️ [Попробуй рутины для чата и себя](https://t.me/ChatLogixBot?start=routine_intro_-1001602583765)
🔥 [Мой канал](https://t.me/ChatLogix)
#dailysummary
Привет, коллеги.
InsideEX processing-команда с фокусом на LATAM high-risk.
Сейчас активно работаем по:
AR / BR / MX / PY / CL / VE
Закрываем:
— local bank transfers (P2P)
— PIX Brazil
— local wallets (MercadoPago / AstroPay)
— deep link flows
Работаем с gambling / betting трафиком:
стабильные выплаты, competitive approval rates, возможность подключения как в основной поток, так и в cascade.
Если сейчас ищете дополнительный processing по LATAM или хотите усилить текущий setup — пишите в ЛС.</t>
  </si>
  <si>
    <t>Scaling Gam/Bet but hitting a wall with constant declines and payment drops? Stop fighting for every approval.
​BlackStripe Group has you covered:
- ​Global Reach: EU + international corridors, fully loaded with Google &amp; Apple Pay.
- ​Unmatched Liquidity: Daily settlements on a T+3 cycle + real-time push-to-card payouts.
- ​Tailored Pricing: Choose what fits your margins best IC++ or blended models.
- ​Bulletproof Infrastructure: Advanced 3DS, automated dispute management, and a 99.99% SLA uptime.
​Enjoy 91%+ approval rates on direct Visa/MC acquiring. Get a commercial offer in 1 hour, pre-approval the same day, and your MID live within 48 hours.
​📍 DM me directly.</t>
  </si>
  <si>
    <t>**С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t>
  </si>
  <si>
    <t>💸 Imagine never paying a percentage to PSPs or banks again.
🚀 Following the huge success of our personal accounts, business accounts are now available!
💳 Stripe  
🏦 Revolut  
💰 Sumup  
🌍 Wise  
✈️ Airwallex  
💵 Payoneer  
✨ Vivid  
🏛 Mercury  
➕ …and many additional options are available upon request, including country selection.
✅ Fully verified  
✅ Fully yours  
🆕 Fresh unused accounts  
🔐 Under your control from day one
💯 One single payment.  
❌ No percentages  
❌ No more rolling reserve  
❌ No more minimum settlement amount  
❌ No more money getting “stuck”
📊 If you are paying around 20% to providers, then sending 100K meant 20K gone — just in commissions.
📩 DM</t>
  </si>
  <si>
    <t>Running a high-risk business and tired of being turned down?
BlackStripe Group: payment infrastructure built for verticals others refuse.
→ 91%+ approval rate
→ MID live in 48h
→ Real-time push-to-card payouts
→ EU + Global, Visa/MC, Apple/Google Pay
→ IC++ and blended pricing
→ T+3 settlements, 99.99% SLA
Gam / Bet / Forex / Crypto / Adult / Travel and more.
Same-day pre-approval. Commercial offer within 1 hour.
📍 DM us.</t>
  </si>
  <si>
    <t>И снова здравствуйте!
Коллеги, порекомендуйте, пожалуйста, хорошего psp manager, чтобы был силён уже в роутинг, каскад и так далее. Операционная часть. Может быть, кто-нибудь в поисках.
Спасибо 🙏</t>
  </si>
  <si>
    <t>#Selling #Payment Solution
All EU, flexible comission
Without limits. 100.000€ per shot. Settlement t+0.
Forex/auto/igaming.
High-risk processing</t>
  </si>
  <si>
    <t>🇵🇱**BLIK идёт в ЕС - что это значит для гемблинг-операторов**
Польская платёжная система BLIK объявила о полноценной экспансии на рынок Евросоюза. Румыния и Словакия уже запущены, следующие - Австрия, Чехия, Венгрия. CEO позиционирует BLIK как прямого конкурента Apple Pay и Google Pay, инструмент «европейского платёжного суверенитета».
Для отрасли это важнее, чем кажется на первый взгляд.
📊**BLIK по итогам 2025 года**
➡️2,9 млрд транзакций
➡️€105 млрд оборот
➡️20,7 млн активных пользователей
🎯**Почему это интересно для high-risk / gambling**
BLIK - это банковский код из 6 цифр, без карты и без данных. Платёж идёт напрямую с банковского счёта через мобильное приложение банка. Никакого BIN, никакого card scheme - а значит, классических причин для decline со стороны Visa/MC просто нет.
**Что даёт оператору:**
➡️Высокий approval rate - нет chargeback-риска по карточной схеме, нет MCC-блокировок 
➡️Instant settlement - деньги приходят мгновенно, депозит игрока зачисляется без задержек 
➡️Низкий fraud - авторизация через банковское приложение = двухфакторная аутентификация по умолчанию 
➡️Нет chargebacks в классическом понимании - ACH/bank-transfer модель, споры решаются иначе
⚠️**Но есть нюанс**
BLIK работает только через банки-партнёры. Экспансия - это интеграция с банками каждой страны по отдельности плюс регуляторное одобрение. В Румынии пока конкурируют с национальной системой Ropay. Таймлайн на каждый рынок - от нескольких месяцев до 1,5 лет.
Стратегия двойного входа: прямые партнёрства с банками (Erste Bank - акционер, присутствует в AT, CZ, HU, SK) + альянс с EPI/Wero для покрытия Западной Европы.
Для PSP и платёжных агрегаторов в нише - это сигнал добавлять BLIK в роадмап. Сейчас рынок узкий, но он формируется. Те, кто зайдёт первыми, получат конкурентное преимущество перед мейнстримными игроками.
💡Ждём IPO BLIK - компания рассматривает его как источник капитала для агрессивной экспансии. Следим.
✔[High-Risk PaymentsHub — присоединяйся](https://t.me/paymentshubhighrisk)</t>
  </si>
  <si>
    <t>Я SEO-консультант с опытом 6+ лет, помогаю iGaming-брендам, казино, беттинг-проектам и аффилиат-бизнесам расти за счёт органического трафика.
Что я делаю:
📈 SEO для iGaming-брендов, аффилиат-сайтов и контентных проектов
🔍 Органический трафик из классических поисковых систем (Google, Bing) и AI-платформ (ChatGPT, Perplexity, Google AI Overviews)
🔗 Линкбилдинг, контент-стратегия и построение тематического авторитета
📊 Технический SEO, аудит сайтов и оптимизация под конверсию
Неважно, что у вас — аффилиат-программа, обзорный сайт, казино-бренд или беттинг-платформа — помогу привлекать игроков и партнёров без полной зависимости от платного трафика.
📩 Пишите в личку — с удовольствием встретимся на одном из сайд-ивентов или во время експо в Ереване! @zorimarkzoryan
===============================================
I'm an SEO consultant with 6+ years of experience, helping iGaming, casino, betting, and affiliate businesses grow through organic traffic.
What I do:
📈 SEO for iGaming brands, affiliate sites &amp; content publishers
🔍 Organic traffic from classic search engines (Google, Bing) and AI platforms (ChatGPT, Perplexity, Google AI Overviews)
🔗 Link building, content strategy &amp; topical authority
📊 Technical SEO, site audits &amp; conversion-focused optimization
Whether you run an affiliate program, a review site, a casino brand, or a betting platform — I can help you attract players and partners without relying solely on paid traffic.
📩 DM me — happy to meet at any of the side events or during the expo! @zorimarkzoryan</t>
  </si>
  <si>
    <t>🇧🇷Payments – PIX - TED - BOLETO
✔️Igaming/Gambling/Forex/Adult
🥇Robust, reliable and triple redundancy
💵Settlement in USDT
⚠️Supports Offshore &amp; Brazilian licenses
🙂DM me: @BizDev_Globalcoin</t>
  </si>
  <si>
    <t>Всем привет. 
Мы прямой Nutra рекл по Европе, Латам и СНГ. Буду рада пообщаться на конфе и сходу выдать офферы на Европу с гарантом апрува 47% от тотала. Пишите в лс и давайте встречаться на BroConf в Сочи♥️</t>
  </si>
  <si>
    <t>🔥GalePay — India Premium Payment Gateway
⚡️ High success rates
🔒 Stable &amp; secure routing
💰 T+0 Settlement
🤑 Extremely High Commission | Agents Welcome!
iGaming &amp; Forex ready.
DM now.</t>
  </si>
  <si>
    <t>🌍 **URGENT: Need STABLE Payment Rails?** 🌍
💳 **We Cover Top Geos:**  
🇬🇧 UK | 🇩🇪 DE | 🇮🇹 Italy | 🇪🇸 Spain | 🇱🇹 Lithuania | 🇵🇱 Poland | 🇳🇱 Netherlands | 🇩🇰 Denmark | 🇨🇭 Switzerland | 🇫🇷 France | 🇱🇺 Luxembourg | 🇦🇪 UAE | 🇦🇺 Australia &amp; More
⚡ **Instant SEPA + Lightning-Fast Settlements**  
💼 **Perfect for FX &amp; Crypto Verticals**  
📞 **Dedicated Support**  
🚀 Stop losing deposits - upgrade your payment flow TODAY!  
📲 **DM me NOW** let's get you onboarded fast! 💬</t>
  </si>
  <si>
    <t>**🚨 Brokers — tired of PSPs burning your leads? 🚨
❌ Low approval rates
❌ Endless declines killing your ROI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t>
  </si>
  <si>
    <t>among them ru</t>
  </si>
  <si>
    <t>among them en</t>
  </si>
  <si>
    <t>lang</t>
  </si>
  <si>
    <t>en</t>
  </si>
  <si>
    <t>ru</t>
  </si>
  <si>
    <t>sum</t>
  </si>
  <si>
    <t>Работаю по EU картам, апрув стабильно 71%, роллинг 8%. Пишите в лс, обсудим объёмы</t>
  </si>
  <si>
    <t>Покрыт по UA, PL, CZ, DE, RO. Карты + альтернативные методы. Онбординг от 3 дней. В ЛС.</t>
  </si>
  <si>
    <t>MCC 7995 / EU / Visa, MC / апрув 74% / роллинг 10% / сетлмент еженедельный / @contact</t>
  </si>
  <si>
    <t>Занимаюсь процессингом для iGaming и adult, закрываю EU/UK/LATAM. Быстрый онбординг, напишите</t>
  </si>
  <si>
    <t>Можем закрыть EU high-risk, работаем с iGaming и форексом. Роллинг от 5%. В лс.</t>
  </si>
  <si>
    <t>Закрываем EU iGaming, апрув 72-78%, роллинг 5%, сетлмент раз в неделю. Пишите.</t>
  </si>
  <si>
    <t>Высокий риск | EU, UK, LATAM | Visa/MC/AMEX | апрув 75%+ | защита от чарджбеков | @handle</t>
  </si>
  <si>
    <t>Процессим гемблинг, форекс, adult. Без скрытых комиссий, онбординг за 5 дней. Стучите в лс</t>
  </si>
  <si>
    <t>[context] Мы PSP, специализируемся на высоком риске, EU и LATAM гео
Готов обсудить ваш трафик и условия подключения</t>
  </si>
  <si>
    <t>Processing high-risk merchants in EU and UK, 72% approval rate, DM for rates</t>
  </si>
  <si>
    <t>High-risk acquiring | EU/LATAM | Visa/MC | 75% approval | 10% rolling reserve | T+7 settlement | PM @contact</t>
  </si>
  <si>
    <t>Covering iGaming and adult verticals across EU and UK, onboarding within 5 days, reach out</t>
  </si>
  <si>
    <t>Can process MCC 7995 and 7993 across EU, custom routing available, reach out to discuss volumes</t>
  </si>
  <si>
    <t>Working with gambling and forex merchants across EU and LATAM, stable approval, DM for details</t>
  </si>
  <si>
    <t>iGaming processing | EU/UK/LATAM | Visa MC AMEX | 74% approval | 5 day onboarding | contact via DM</t>
  </si>
  <si>
    <t>Covered on EU, US, LATAM. Cards and crypto. Chargeback protection. Weekly settlement. DM.</t>
  </si>
  <si>
    <t>Able to handle high-risk MCC codes, multi-currency settlement, custom cascade — get in touch to discuss volumes</t>
  </si>
  <si>
    <t>**OLEG SHESTAKOV на G GATE CONF ****⭐️****
**
Что происходит, когда классическое SEO встречается с эпохой AI?
Об этом на сцене G GATE CONF расскажет [**Олег Шестаков**](https://t.me/oshestakovdigital)** — Founder Black Flag SEO**, специалист по продвижению в конкурентных и high-risk нишах с опытом в SEO с 2008 года и один из сторонников AI-автоматизации процессов.
**🪙**** Тема выступления:
«Черное SEO в эпоху AI: как манипулировать выдачей Google и нейросетей в 2026 году»**
В своем докладе Олег покажет, как изменились правила игры после появления LLM и почему борьба за выдачу теперь происходит не только в поисковиках, но и внутри нейросетей.
**На сцене обсудим:**
— как получать виральный трафик и быстро продвигать проекты в высококонкурентных нишах
— почему Bing становится все более интересной площадкой для SEO
— как устроен консенсус современных LLM и можно ли на него влиять
— что такое Fake Ratings и как бренды пытаются попасть в рекомендации нейросетей
— каким образом LLM выбирают источники и контент для своих ответов
— реальные примеры манипуляций данными, которые попадают в поле зрения AI-моделей
— как будет выглядеть борьба за внимание пользователей в мире, где поиск постепенно меняется на AI-ассистентов
**💻**** Это выступление для тех, кто хочет понимать не только то, как работает SEO сегодня, но и то, как формируется выдача и рекомендации в новой AI-реальности.**
__G GATE CONF — место, где делятся реальными кейсами и сильной экспертизой. Присоединяйтесь ____💚____
__**✉️**** Билеты: ****ggateconf.com**
[__G GATE CONF |__](https://ggateconf.com/tickets)__ JUNE 26-27, 2026__ | [__ЧАТ__](https://t.me/ggatecommunity)</t>
  </si>
  <si>
    <t>**🇰🇿 Казахстан: обзор ГЕО от**[** Blask**](https://blask.com/)
Рынок зрелый — за год рост Blask Index составил **+3,24%. **Важный момент: с марта 2026 Blask Index падает. Причину рассмотрим ниже.
**CEB — $1,17 млрд. **Казахстан обогнал Чили, Южную Корею, Данию (Казахстан №36, Дания — №39).
**APS — 4,64 млн** (№31 в Blask). После введения ЕСУ (Единая система учёта, аналог ЦУПИСа в России) и проблем у регулируемых операторов рынок на время сжался. Сравните: у Греции и Казахстана APS практически одинаковый (4,53 млн и 4,64 млн), при этом разница в населении — в два раза. 
**Регулирование**
В Казахстане разрешены ставки на спорт, онлайн-казино — нет.
В начале марта 2026 в стране заработала ЕСУ. Для продолжения работы бренды с местной лицензией обязаны были интегрироваться с несколькими государственными сервисами, как минимум все платежи должны идти через NomaPay. Но успели далеко не все. 
Итог — в начале марта легальные бренды начали отключать от платёжных систем. Продукты физически не могли принимать ставки. Рынок рухнул: в феврале Blask Index был ещё 13,41 млн, а вот в марте уже 8,3 млн, в апреле — вообще 6,26 млн. 
Тогда букмекеры были недовольны происходящим. Гендиректор «Тенниси» [**отреагировал**](https://www.sports.ru/betting/industry/1117093085-sulejmanov-ob-otklyuchenii-platezhnyx-sistem-ot-kazaxstanskix-bk-ne-vs.html) крайне негативно:
«Да, на самом деле еще вчера начался процесс отключения платежных систем от БК. Страшные письма-пугалки от регулятора вынуждают операторов платежей идти на самые жесткие меры.
Причина — все платежи должны идти через Номапей. А все букмекеры должны интегрироваться с Номапей, с ЕСУ и еще каким-то количеством государственных сервисов.
Само собой не все букмекеры успели интегрировать все, чтобы продолжить работу, так как сроки были очень сжатыми для такого объема. Поэтому легальный беттинг в Казахстане прилег отдохнуть.
Нелегальный открывает припасенное на особый случай шампанское! Хотели как лучше, а получилось как всегда! Ура, товарищи!»
Интерес к оффшорным брендам вырос в** 2,9 раз.** Вот динамика Blask Index по ним с февраля по апрель:
Февраль: 2.91%
Март: 6,31%
Апрель: 8,39%
**Топ брендов **
Сейчас наибольшим спросом пользуются бренды с местной лицензией. На рынке есть явный лидер — Olimpbet с BAP **56,35%,** у ближайшего конкурента — Pin-Up — BAP** 32.82%.** В сумме у двух брендов почти **90% BAP** — настоящая дуополия.
При этом несколько брендов значительно выросли год к году: 
— Pinco прибавил **203,9%** и вышел на 10 место
— Ubet взлетел на **683,5% **и расположился на 14 строчке
**О** метриках
**Blask Index — **показатель интереса к iGaming-рынку или бренду
**CEB (Competitive Earning Baseline) —** прогноз выручки по данным Blask
**APS (Acquisition Power Score) — **потенциальное количество игроков, который бренд может привлечь на конкретном рынке
**BAP (Brand's Accumulated Power) — **доля спроса конкретного бренда относительно конкурентов</t>
  </si>
  <si>
    <t>Коллег привет, 
Подскажите, пожалуйста, кто работал с T365? Всё гуд с ними? Спасибо 🤝</t>
  </si>
  <si>
    <t>**Рынок AI в iGaming вырастет в 13 раз за 5 лет**
Сегодня AI занимает 1-2% IT-бюджетов операторов. К 2030 — уже 11%. Те, кто входит сейчас, получат кратный отрыв.
🌐 [**MICo**](https://t.me/+T7JJDB4opZk3YWMy)** собрали все изменения в одном тренд-репорте «Будущее iGaming: прогнозы, AI и борьба за маржу»,** которые уже влияют на экономику операторов и будут актуальны в ближайшем будущем: 
🔘Где операторы теряют выручку и что с этим делать
🔘Почему регуляторику больше нельзя считать только юридической проблемой: кейс Непала и Индии
🔘Нехватка AI-компетенций становится одним из главных ограничений роста операторов — есть ли план действий?
Цифры рынка, анти-кейсы и успешные сценарии, а также практических выводы, которые можно применить уже сейчас.
**→ **[**Читать полный отчет**](https://t.me/mico_report_bot?start=iGamingCEO)</t>
  </si>
  <si>
    <t>[context] Как человек, знакомый с РФ-телекомом, могу сказать только одно  — в  РФ точно не стоит брать SIP-телефонию под high-risk. :) За сопредельные не скажу, не знаю — но интуиция говорит, что лучше всего под ваш запрос может подойти Казахстан.
Какого провайдера конкретно рекомендуете под казахстанские номера для outbound на РФ? Без российского юрлица, ~120 звонков/день?</t>
  </si>
  <si>
    <t>Коллеги, привет ✨
Подскажите, есть ли у кого-то отзывы о Repay? 
Заранее благодарю 🙏</t>
  </si>
  <si>
    <t>Всем добрый вечер! Подскажите пожалуйста, кто-то работал с allpass.ai как провайдером KYC/KYB? Может посоветуете еще хороших кроме СамСаба? Именно нужны KYC/KYB со всеми прелестями, если есть еще криптовый модуль - тоже будет хорошо, но необязательно</t>
  </si>
  <si>
    <t>[context] Всем привет, подскажите пожалуйста, собираюсь заливаться на igaming какую пп посоветуете и какое гео?
в лс могу покидать ПП 
по гео африку бери</t>
  </si>
  <si>
    <t>Коллеги, всем изобилия) 
Подскажите, пожалуйста, кто-то работал с MonkeyHub? Есть ли какие-то отзывы о работе, что скажете о ребятах?</t>
  </si>
  <si>
    <t>Всем изобилия! 
Подскажите, пожалуйста, кто-то работал с Noros? Есть ли какие-то отзывы о работе, что скажете о ребятах?</t>
  </si>
  <si>
    <t>**🇱🇦****Лаос перестаёт быть тихой гаванью для серого APAC-эквайринга**
Вьетнамская полиция совместно с коллегами из Лаоса накрыла платёжную сеть ASM Pay, обслуживавшую китайских гемблинг-операторов. За четыре месяца через контур прошло около $152 млн. Схема выглядела знакомо для любого, кто работал с APAC high-risk: VND → локальный шлюз → OTC/биржа → USDT → расчёты с операторами в Китае. Комиссия сети составляла всего 0,3–0,8% от оборота. В работе использовались Telegram и собственный софт ASM Pay. Задержаны 56 человек.
💭Сам кейс интересен не объёмом. Интересно направление миграции.
По данным следствия, китайские организаторы перебрались в Лаос после усиления давления на подобные структуры в Камбодже в начале 2026 года. Это уже не единичный рейд, а продолжение многолетнего тренда: Камбоджа → Лаос → приграничные зоны Мьянмы → всё более экзотические юрисдикции.
❓**Что это означает для high-risk PSP и платёжных агентов**
1️⃣Стоимость серной ликвидности в APAC будет расти.
   Чем меньше остаётся работающих MIA-подобных шлюзов и OTC-хабов, тем выше cost of funds и тем больше премия за расчётный риск.
2️⃣USDT окончательно закрепляется как операционная валюта.
   В большинстве подобных схем стейблкоин используется не как инвестиционный инструмент, а как расчётный слой между локальными фиатными рельсами и конечным бенефициаром.
3️⃣География продолжает смещаться.
   После охлаждения Камбоджи и роста внимания к Лаосу рынок всё чаще смотрит на приграничные зоны Мьянмы, отдельные тихоокеанские юрисдикции и полностью криптовые схемы без классического локального эквайринга. При этом давление Китая на инфраструктуру офшорного гемблинга остаётся системным, а не ситуативным.
📣Главный вопрос на второе полугодие 2026 года: какие APAC-юрисдикции ещё готовы предоставлять не только лицензии и регистрацию, но и реальную платёжную инфраструктуру для high-risk-трафика?
✔️[High-Risk PaymentsHub — присоединяйся](https://t.me/paymentshubhighrisk)</t>
  </si>
  <si>
    <t>[context] Всем привет! 
Есть ли у кого-то опыт работы с PSP Epay, Payglobal, Star234?
Star234 скамеры, нас на $30к кинули 
Остальные просто плохо
В целом троица святая перечислена, только перекреститься и молиться</t>
  </si>
  <si>
    <t>💳**Carding в гемблинге: как воруют через тестовые депозиты**
Казино и беттинг-платформы - один из любимых полигонов для проверки краденых карт. Не потому что там воруют деньги напрямую (хотя и это бывает), а потому что механика депозитов идеально подходит для того, что индустрия фрода называет card testing.
Разбираем, что это за схема с точки зрения payment-команды и как её ловят.
1️⃣**Почему казино - удобная площадка для card testing**
Когда у мошенника есть база краденых номеров карт, первая задача - понять, какие карты ещё "живые" и не заблокированы банком. Для этого нужна платформа, где:
➡️можно быстро зарегистрироваться без сложной верификации
➡️минимальный депозит небольшой (иногда $1-5)
➡️транзакция обрабатывается мгновенно, и результат виден сразу
➡️неудачная попытка не вызывает подозрений у платформы так, как это было бы в интернет-магазине
Казино и беттинг-сайты исторически подходили по всем пунктам - отсюда и популярность именно этой индустрии для тестирования карт.
2️⃣**Как выглядит паттерн изнутри**
Классическая схема: серия мелких депозитов с разных карт (часто из одной украденной базы - соседние номера, одна и та же группа BIN) на один аккаунт или на серию свежесозданных аккаунтов, за короткий промежуток времени, часто с одного устройства или IP-диапазона.
Цель мошенника не выиграть и не поиграть, а получить ответ "approved/declined" от платежной системы. Успешная транзакция значит, что карта рабочая, и её можно перепродать дороже или использовать для более крупного мошенничества в другом месте.
3️⃣**Почему это дорого стоит оператору, даже если сам не пострадал напрямую**
Вот ключевой момент, который часто недооценивают: даже если казино не теряет деньги напрямую (депозит вроде бы прошёл нормально), урон приходит через несколько каналов:
➡️**Chargeback ratio** - настоящий держатель карты рано или поздно увидит списание, которое не совершал, и оспорит его. Пачка мелких карточных тестов = пачка будущих чарджбэков
➡️**Репутация MID у платёжных систем** - Visa/Mastercard отслеживают паттерны card testing по конкретному merchant ID, и это напрямую влияет на risk-рейтинг мерчанта, независимо от того, кто виноват
➡️**Блокировка со стороны эквайера** - банк-эквайер может временно заморозить приём платежей у мерчанта, если видит резкий всплеск деклайнов подряд с разных карт - это классический сигнал для риск-отдела банка
4️⃣**Как индустрия это ловит**
➡️**Проверка скорости операций по BIN и IP** - если за короткое время идёт серия попыток с картами одного диапазона BIN, это красный флаг ещё до авторизации
➡️**Соотношение approved/declined в реальном времени** - резкий рост доли отклонённых транзакций с одного источника - явный сигнал card testing, даже если отдельные транзакции выглядят невинно
➡️**Цифровой отпечаток устройства и поведенческая биометри**я - то, как человек вводит данные карты (скорость печати, паттерны движения мыши), сильно отличается у бота или скрипта от обычного игрока
➡️**Лимит на количество попыток оплаты с одного устройства/IP за период** - простая, но рабочая мера
➡️**3D Secure как фильтр** - 3DS резко усложняет card testing, потому что мошеннику нужен доступ не только к номеру карты, но и к каналу подтверждения (смс, приложение банка)
📌**Главный вывод для payment-команд**
Card testing - это тот случай, где отдельная транзакция почти никогда не выглядит подозрительно, а вся картина видна только на уровне паттерна и скорости. Именно поэтому мониторинг скорости транзакций в реальном времени и связки BIN/device/IP важнее любого пост-фактум анализа: к моменту, когда чарджбэки дойдут до отчёта, ущерб репутации MID уже нанесён.
✔[High-Risk PaymentsHub — присоединяйся](https://t.me/paymentshubhighrisk)</t>
  </si>
  <si>
    <t>**СКАМ с фейковым трафиком: SolaceRewards обманул бренды**
Несколько iGaming-брендов заявили о схеме с участием SolaceRewards — стриминг-аккаунта и аффилейт-сайта, который привлекал партнёров, показывая поддельную статистику по трафику и оборотам.
По данным участников рынка, проект демонстрировал сайт с лидербордами и видеостатистикой, где указывались обороты более $24 млн на крипто-казино вроде Thrill, Shuffle и Packdraw. При этом цифры выглядели идеальными. После этого операторам предлагали тестовое сотрудничество, но фактический трафик оказывался накрученным — с мультиаккаунтами и злоупотреблением ставками.
После выявления несостыковок проект мог менять домен или просто исчезать, а записи стримов удалялись. Представители индустрии сообщили о похожих кейсах и потерях, при этом некоторые операторы заявили, что вообще не сотрудничали с SolaceRewards, несмотря на упоминания в их материалах.
После обсуждений сайт и аккаунты SolaceRewards стали недоступны.</t>
  </si>
  <si>
    <t>[context] Коллеги, всем добрый день!
Хотелось бы прокомментировать и разобраться в обвинениях в сторону Winstrax. 
Для начала позвольте представиться с кем еще не знакомы - Мы B2B igaming платформа, которая предоставляет продукт разным партнерам. Со многими участниками чата знакомы и успешно работаем. 
Мы с уважением относимся к платежному сообществу и всегда стремились к справедливому и конструктивному взаимодействию. 
Для начала хотелось бы сказать, что данный кейс не закрыт с платежным провайдером и находится в процессе разбирательства. Мы полностью поддерживаем коммуникацию с ними, хоть и наше последнее официальное сообщение им осталось без ответа в нашу сторону.
Конкретно по кейсу:
1. В предоставленных материалах штрафа были указаны сторонние cross-SEO-сайты, которые нам не принадлежат и никогда не контролировались нами. Информация о том, что они с нами связаны, как и о том, что они были отключены через 5 минут - ложная. Это кросс-SEO реклама которую продают на рынке.
2. После получения информации о сайтах, мы самостоятельно выявили внешнюю аффилиатную команду, стоящую за этими сайтами, и потребовали прекратить использование нашего бренда. После долгих пререканий они выполнили наше требование, но уж точно не за 5 минут.
3. Редиректы с указанных cross-SEO сайтов перенаправляли пользователей не только на наш проект, но и на множество других брендов. Этот факт был зафиксирован как нашей командой, так и командой платежного провайдера. Эта информация говорит о том, что данные штрафы могут принадлежать не нам. Кроме того, я думаю вы согласитесь, что использование нашего бренда не является доказательством того, что эти домены наши, как и то, что штрафы были адресованы нам.
4. Не смотря на всю эту информацию, мы не отказываемся от финансовых обязательств, потому что мы понимаем реалии рынка. Мы лишь просили разобраться в ситуации и предоставить больше данных, так как платить за потенциально чужие штрафы мы, как и любая другая компания, не можем. Ни одно из следующих доказательств предоставлено не было:
- не было ARN транзакций (в случаях с cross-seo сайтами обычно MC дает такую информацию)
- не было детальных скриншотов переписок с MC или запись экрана этой переписки (так как мы понимаем, что MC все же может иногда не предоставить ARN).
Как вы можете заметить, нам нужны любые базовые доказательства.
5. Как и было указано, первый штраф был оплачен, но мы с ним не соглашались, так как перечисленные доказательства тоже не были предоставлены. Средства просто списали с нас и отказались продолжать нормальную коммуникацию.
6. Заявление о системности так же ложное. Мы всегда исполняем все свои обязательства перед PSP. В данном кейсе, как я уже сказал ранее, не предоставили ARN транзакций, что в целом мы готовы были бы понять, если бы нам открыто предоставили всю информацию с переписками и данными, на которые в данном случае мы как мерчант имеем право.
Мы всегда открыты к конструктивному диалогу. С самого начала мы проявляли готовность разбираться, делились результатами внутренней проверки и объясняли технические особенности работы подобных сайтов, но столкнулись с категоричным непринятием нашей позиции без рассмотрения представленных аргументов. Хотя нам всего нужно было ARN транзакции, или любая другая полная информация что штраф действительно наш.
Спор не был завершён, процесс для нас продолжается и мы абсолютно не понимаем, почему без информации со 2 стороны было принято решение о добавлении компании в ЧС.  Было бы здорово все же сначала выслушать обе стороны, получить полную информацию, и только после этого принимать решение.
Исходя из всего вышесказанного, мы просим @whos_fv убрать нас из ЧС, так как никаких скаммерских действий с нашей стороны не было, а разбирательство по кейсу не закрыто.
Представителей компании просим вести коммуникацию напрямую и наконец-то предоставить запрашиваемые доказательства (хотя бы что-то).
В случае необходимости платежное сообщество может назначить независимого арбитра, если нам не удастся решить данный вопрос в рамках внутренней коммуникации, мы открыты для этого!
Решайте вопрос со стороной которая написала, договоритесь, уберу!</t>
  </si>
  <si>
    <t>🚨 Добавил в ЧС — RED Alert
PSP's (вкладка)
**Fuji Exchange Limited / Blue Whale Tech Inc** - cratos.net, payball.net
__- Мошенничество с удержанием средств — после начала работы по первичке сфабриковали штраф и удержали по нему сеттлмент;
- Поддельная документация — независимая проверка однозначно подтвердила, что штраф некорректный, однако компания отказалась возвращать средства;
- Уклонение от урегулирования — после предъявления результатов проверки «ушли разбираться с эквайером» и на связь не выходят.__
#Blacklist #PSP #ЧС #ЧерныйСписок</t>
  </si>
  <si>
    <t>**### 🚀Open to work ###
Payments Integration &amp; PSP Partner Manager. Опыт 4+ года в iGaming / payments. Betting · Casino · Integrations
**
#payments #integrations #psp #igaming #remote
**Опыт работы:**
- Payments Integration &amp; PSP Partner Manager — iGaming оператор (Malta, betting/gambling)
Единая точка координации по 7+ PSP: онбординг провайдеров, интеграции, UAT/sandbox, go-live, операционка и эскалации. Работа с product, engineering, compliance, finance, QA.
- Integration Engineer → Technical Consultant — iGaming оператор (Malta)
Интеграции платежных и внешних систем: API, маппинг полей, sandbox UAT, production support. Координация с vendor engineering teams.
- Software engineer — B2B SaaS (Kraków)
Next.js, Nest.js, typescript, php, Wordpress. 10+ лет engineering background в сумме.
**Достижения:**
- Координировал rescue-rollout ~20 payment methods через 2 PSP за ~1 месяц — single POC при параллельных интеграциях и жёстком дедлайне.
- Нашёл и исправил cross-system дефект (4 системы) → reg-to-deposit ~8% → ~38%, successful deposits ~15% → ~60%.
- Провёл E2E онбординг 7+ PSP-партнёров: от requirements до post-go-live monitoring.
- Собрал middleware-адаптер между несовместимыми API (affiliate + platform) → запуск программы без ожидания vendor roadmaps.
- Оформил runbooks, go-live checklists и escalation paths — ускорил повторяемый PSP onboarding.
**Что ищу:**
- Full-time remote (Poland / EU)
- Payments Integration Manager · PSP Account / Partner Manager · Integration Manager · Payment Partnerships
- iGaming оператор, агрегатор, платформа или payment infrastructure vendor
- Роли с vendor-facing delivery, PSP onboarding, ops и cross-functional координацией
**Контакты:**
TG: @alian_jr</t>
  </si>
  <si>
    <t>#CV #iGaming #Payments #PSP #FinTech #OpenToWork #Remote
Всем привет!
Меня зовут Глеб, я уже более 3-х лет в сфере iGaming.
🎰 Мое погружение в iGaming проходило с рядовой должности в Support отдел + VIP сегмент.
💸 Работал с выводами в "P2P payout" отделе, который мы самостоятельно строили своей командой внутри компании, где занимал должность "Supervisor".
🕵🏻‍♂️ Также мне доводилось выявлять и применять меры по отношению к мошенникам, просматривая чеки, а также наблюдать за работоспособностью платежных систем в "Payment" отделе.
📊 Анализировал и оптимизировал платежные процессы, находясь в должности "PSP Senior Conversion Manager".
🌍Работал с различными гео: (AZN, BRL, EUR, KZT, UAH, UZS, USD)
💌 Буду рад новым знакомствам, интересным проектам и возможности применить свой опыт для совместных задач.
 📌 Более подробно о моих задачах и результатах — в резюме выше,
🤗 С нетерпением ожидаю обратной связи!
TG - @knight9knife</t>
  </si>
  <si>
    <t>🚀 Telvy — retention-платформа для iGaming в Telegram
Одна платформа вместо пяти подписок:
• Конструктор user-flow — сами решаете что и когда показывать игрокам
• AI-саппорт 24/7 с вашей базой знаний
• Сегменты и триггеры по любым событиям
• Промокоды 3 типов и лутбоксы для гемификации
• Антифрод против мульти-аккаунтов и бонус-хантеров
• API-интеграция с любой платформой
Под iGaming заточены с нуля. Дешевле Optimove в 10х. Запуск за 3 дня.
Пишите @telvycrm</t>
  </si>
  <si>
    <t>🗓 **Дайджест**: 13.07-19.07
1. [**Чемпионат мира как инфоповод для слотовых игроков**](https://t.me/igamingceo/1040). Рассказываем о том, как вовлечь публику, используя громкое спортивное событие.
2. [**Аффилиаты и СРА-сетки, готовые к сотрудничеству с новыми iGaming-брендами (2026)**](https://t.me/igamingceo/1042). Список партнеров, которые открыты к сотрудничеству с новыми проектами + детальная информация по условиям и гео. 
3. [**Ищем инфлюенс-агентства**](https://t.me/igamingceo/1044). Расскажите бесплатно о вашем агентстве, заполнив короткую [форму](https://docs.google.com/forms/d/e/1FAIpQLSdkb0NW5j3dWBno-bxHdpvRsxIo77xGjdSjTA9hzPqT4L6aNQ/viewform?usp=dialog). 
4. [**6 дашбордов, которые регулярно смотрит продукт менеджер**](https://t.me/igamingceo/1047). Рассказываем о своем подходе к ключевым дашбордам для продукт менеджера.
Также мы собираем полезные ссылки для запуска и развития онлайн-казино:[ навигационный пост](https://t.me/igamingceo/998).
**Подписывайтесь на ****@igamingceo**</t>
  </si>
  <si>
    <t>#huiduindia
Post-PROGA ban, India’s iGaming shifts from real-money to AI-powered free-to-play, social, and e-sports formats. Gaming market was ~$4.26 billion in 2024; AI now drives personalization, fraud detection, responsible gaming, and immersive development in 2025-2026. Government support via IndiaAI Mission and 2025-26 Budget (₹20,000 crore for AI cloud credits, ₹10,000 crore for startup funding). X discussions focus on Web3 hiring and offshore pivots.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🪩[**Across 6 cities, HUIDU World Cup Carnival is now open for sponsorship opportunities!**](https://t.me/hdtyler9)
🔤🔤🔤
🔝[**Bet on IPL 2026 &amp; Win Big!**](https://718sp.win/?dl=7ylt1j)
💰[**Join as an agent and earn unlimited commissions!**](https://t.me/hdtyler9)</t>
  </si>
  <si>
    <t>**B2B iGaming Platforms Accelerate AI Integration for User Retention**
In the B2B iGaming software sector, platform providers are focusing heavily on integrating smart technology to unlock higher player engagement.  
Leading B2B technology providers are actively harnessing innovative AI and real-time reporting to maximize user acquisition and retention.  
**For example, GiG Software recently launched a strategic partnership with VAIX to deliver deep AI personalization directly across their iGaming platforms.**
These intelligent, rules-based automation tools are becoming essential for operators trying to scale efficiently across multiple global and regulated markets.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</si>
  <si>
    <t>Интегрирую платёжный шлюз в свой маркетплейс, подскажите нормального провайдера для EU</t>
  </si>
  <si>
    <t>Разрабатываем checkout для нашего онлайн-казино, нужно API с поддержкой 3DS и нормальной документацией</t>
  </si>
  <si>
    <t>Тестирую процессинг для своего сайта в sandbox, на проде 3DS не проходит — кто сталкивался</t>
  </si>
  <si>
    <t>Осторожно с этим провайдером — чарджбек вырос до 4% за месяц, причин не объясняют, поддержка молчит</t>
  </si>
  <si>
    <t>Кинули на сетлмент, три недели тишина. Всем советую занести в ЧС, имейте в виду</t>
  </si>
  <si>
    <t>ЧС: держат роллинг сверх договора уже два месяца, на связь не выходят. Предупреждаю всех.</t>
  </si>
  <si>
    <t>Нужен корпоративный счёт для нашего мерчанта, работаем с EU-трафиком, объём ~300к в месяц</t>
  </si>
  <si>
    <t>Ищем IBAN для iGaming бизнеса, желательно литовское или мальтийское EMI, кто может помочь</t>
  </si>
  <si>
    <t>Setting up payment processing for our platform, looking for a PSP with solid API and webhook support</t>
  </si>
  <si>
    <t>We're building an iGaming product and need to integrate a payment gateway, any recommendations for EU?</t>
  </si>
  <si>
    <t>Trying to connect a checkout to our site, need a provider that supports 3DS2 and has sandbox access</t>
  </si>
  <si>
    <t>Warning: this PSP has been freezing merchant accounts without notice, chargeback rate spiked to 5%</t>
  </si>
  <si>
    <t>Scam alert — they held our rolling reserve for 6 months past contract terms, adding to blacklist</t>
  </si>
  <si>
    <t>Avoid this provider — settlement delays for 3+ weeks, support unresponsive, chargeback explanation refused</t>
  </si>
  <si>
    <t>Looking for a business account for our gambling operation, preferably EU EMI or neo-bank, any leads?</t>
  </si>
  <si>
    <t>Need an IBAN for our merchant entity, EU-based, high monthly volume, open to EMI recommendations</t>
  </si>
  <si>
    <t>💬 Onpayment — надежный партнер для мерчантов и провайдеров
🍑 Компания приглашает к сотрудничеству по широкому спектру платежных направлений, преимущество работы с нами: 
🔄 Полная автоматизация P2P-приема платежей
✅ Простая и интуитивно понятная документация к API
➡️ Поддержка ключевых направлений: C2C, СБП, QR-коды, трансграничные и банковские переводы, мобильная коммерция и др.
➕ Автоматизированные выводы средств через личный кабинет
💎 Удобная мерчант-панель для управления операциями, монитор</t>
  </si>
  <si>
    <t>🔴Подключаю на площадки 
🔴КА/ Ферма / БТ / МОБКОМ/ Госки / QR НСПК / Любое ГЕО
🔴Дадим мануалы для любого метода работы 
🔴За подключением: @Skrytgmakdak_TL</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</si>
  <si>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t>
  </si>
  <si>
    <t>🤑**Подключение на** **RosPlat вместе с НЕУЯЗВИМЫМИ**
🛍**Ставки:**
⏺** 100-999 ****👉****15%**
⏺** 1000-4999 ****👉****11%**
⏺** 5000-19999 ****👉****9%**
⏺ **от 20000 ****👉****7,5%**
🪙**Выплаты ( доступны сразу )**
** **⏺**100-999 ****👉****5%**
** **⏺**1,000-1,999 ****👉****3%**
** **⏺**2,000-4,999 ****👉****2%**
** **⏺**5,000-9,999 ****👉****1%**
** **⏺**10,000-300,000 ****👉**** 0-1%**
😄**Контр-Агенты:**
⏺ **3,000-300,000** 👉**8%**
**Условия страховых депозитов:**
⏺** НА ВСЕ ЧЕКИ ****👉****1</t>
  </si>
  <si>
    <t>Cigarette Payment Company！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For the pooled fu</t>
  </si>
  <si>
    <t>MobiusPay | White Label, который выдерживает рынок
Вас заебали старые, кривые, проблемные технички?
Системы, которые падают при нагрузке?
WL, которые «вроде есть», но не выдерживают реального трафика?
Давайте честно.
Большинство White Label на рынке — это:
— перекрашенный шаблон
— устаревшая архитектура
— техподдержка “завтра посмотрим”
— и ноль понимания, что такое реальный платёжный поток
MobiusPay — это не витрина. Это рабочая машина.
🔥 17+ лет разработки
Мы не «собрали панель на коленк</t>
  </si>
  <si>
    <t>Подключим новых провайдеров в каскад! 
Методы:
Классика (сбп/с2с) 
• 1000 - 4999 
• 5000 - 9999 
• 10000+ 
QR НСПК (стат/дин) 
Дадим лучшие условия на рынке!</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</si>
  <si>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</si>
  <si>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😃FUNPAY😎
🔥Актуальный оффер**__
Формат работы: Фермы /__** **__Контрагенты__** **__/ Классика / Внутрибанк / БТ / Мобильная коммерция__** **__ __****__⚡__****__Pay In - от __7__ - __16__ %
📈 Курс: красный гринекс__** 🪙 Страховой депозит: $600–800 + KYC (обсуждаемо)
💲**__Чеки __**- **__от 100__** **__до 300.000₽__**
💡 Наши преимущества:
✅ Сильные ментора ✅ Полный функционал по фермам и контрагентам
✅ Удобный интерфейс и гибкая регулировка чеков
✅ Добавляем любой банк по вашему запросу
✅ Кру</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</si>
  <si>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</si>
  <si>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</si>
  <si>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</si>
  <si>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MobiusPay ищет мерчантов под мобильную коммерцию. 
📱 Мобильный коммерция 
✅ Отличная выдача - более 50 000$ ежедневно 
⚡️ Быстрая обработка
🤝 Инхаус команда
Только геймбет
Обработка стабильная. 
Подключение быстрое — старт сразу после согласования. 
Тип трафика — геймбет. 
📩 В ЛС.
@mobius_ceo</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</si>
  <si>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</si>
  <si>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t>
  </si>
  <si>
    <t>🔥 **All-in-One Platform Built to Dominate**🔥
📈 Conquer Forex, Crypto, Arbitrage, CFD &amp; Recovery
🧠 AI-powered monitoring &amp; advanced reporting
💬 CRM with built-in chat + WhatsApp sync
🌐 **Your own branded website included at no cost**
🔐 Full VOIP, VPN &amp; RDP support unlocked
💳 Direct PSP + bank connections from day one
⚡️ **Go live in just 72 hours profits waiting!**</t>
  </si>
  <si>
    <t>👨‍💻 Приветствуем всех!👨‍💻
💼 Условия подключения:
• 💳 СБП / карты / номер счёта / моб ком / нспк
• ⚙️ Автоматика: под любые банки
• 🧩 Поддержка: помощь от нашей команды на всех этапах
💵 Условия по курсам:
По курсу Rapira:
• pay-in → 👨‍💻 
__Классика для трейдеров:
- От 1к до 5к  - 10% (100$ страховой)
- От 5к до 10к - 9,5% (150$ страховой)
- От 10к - 8,5% (200$ страховой) __
__Мобком для трейдеров:
от 100 до 10к - 14% (100$ страховой)
НСПК для трейдеров:
от 1к до 50к - 12% (150$ страховой__</t>
  </si>
  <si>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</si>
  <si>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#selling #Payment 
EU SEPA forex transfers - multiple acc types | flexible MDR | low KYC | in house UBO &amp; accs | 95% success | low/high risk 🫡✨</t>
  </si>
  <si>
    <t>🔥 SkyPhoenix — платёжный партнёр для High-Risk 
☄️В активном поиске новых команд по Узбекситану
🌐https://skyphoenix.info
🙂SkyPhoenix_Valeria_KAM</t>
  </si>
  <si>
    <t>#crm 🚀 All-in-one solution for Forex &amp; Crypto brokers: PSP, CRM, telephony, call-center tools and live traffic. One provider, one ecosystem. DM us for a demo and pricing.</t>
  </si>
  <si>
    <t>Working with operators, aff., media buyers and PSPs across 30+ GEOs. We provide performance traffic (Meta, PPC, Infl., TG) as well as payment solutions - fiat-crypto settlements and OTC services 🚀</t>
  </si>
  <si>
    <t>⚡ High-speed platform and turnkey core built for brokers.
🚀 Robo Core – CRM and trading platform single source code.
⚙️ Engine Power – Native EA and execution high speed no crash.
💳 Native Payments – In-house Crypto payments, wallets.
🔒 Flat Monthly Pricing – No revenue share. No hidden fees. 
📩 Message us right now to schedule a live demo.</t>
  </si>
  <si>
    <t>ATpay Global Payments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🇸🇬Singapore 🇲🇾Malaysi</t>
  </si>
  <si>
    <t>**Sell 🏆**
📈 PSP-Deposit/Charge/Recovery/EX-Deposit/Ret/Ftd/New Signups
🎯 CA/EUROPE EN-NATIVE/US/AU/LATAM/RU</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</si>
  <si>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</si>
  <si>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 Принимаете платежи в бизнесе? Добавьте крипту без комиссий**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</si>
  <si>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Подключаем к Payscrow на любое направление.
Выдаем бесплатно мануалы для работы, есть возможность работы без страхового депозита.</t>
  </si>
  <si>
    <t>#selling #Payment 99% approval for your ftds ‼️
Weekly settlement Instant setup ✅
Link or integration ✅</t>
  </si>
  <si>
    <t>**🎰 Hi everyone! 👋
🚀 We build crypto iGaming platforms including:
🎰 Casino
⚽ Sportsbook
👛 Crypto Wallet System
🛠️ Admin Panel
🤝 Referral &amp; Agent System
💳 Crypto Payment Integration
Our team delivers platforms that are:
⚡ Fast &amp; Scalable
🔒 Secure
📱 Mobile-Friendly
🛡️ KYC Ready
🎯 Responsible Gaming Compliant
🔌 Integrated with Leading Game Providers
Whether you're launching a new crypto casino or upgrading an existing platform, we're here to help.
📩 DM me if you're planning to build or sc</t>
  </si>
  <si>
    <t>Доступны все 3D-шлюзы, доступна SAR-ссылка, мгновенные выплаты, работа с Apple Pay, работа с GPay, Visa, Mastercard, Amex, Discover, работа с платежными шлюзами в Великобритании, Дубае, Канаде, Австралии и Индии, работа с AED</t>
  </si>
  <si>
    <t>🔥 SkyPhoenix — платёжный партнёр для High-Risk 
☄️В активном поиске новых команд по Южной Корее
🌐https://skyphoenix.info
🙂SkyPhoenix_Valeria_KAM</t>
  </si>
  <si>
    <t>❗️**Актуальный оффер JetPay **
**Методы и ставки:**
**Pay-Out:**
**Курс: Rapira +1%**
Холд выплаты до 120 минут.
Предоставление чека в формате PDF 
Выплата до двух чеков.
**Pay-In**
**C2C / СБП**
• от 1 000 ₽ до 5 000 ₽ — 12%
• от 5 000 ₽ до 10 000 ₽ — 11%
• от 10 000 ₽ и выше — 9.5%
**Монобанки**
• от 1 000 ₽ и выше — 7.5%
**Мобильная коммерция**
• от 100 ₽ и выше — 15%
**• Трафик с чеками **
1000-9999 8.5%
10000+ 7%
Прямое подключение - @JetPay_Production</t>
  </si>
  <si>
    <t>🔤🔤🔤- Auto Payment System
Мы международный платежный шлюз по обработке платежей high-risk проектов
Гео, по которым можем предложить обработку:
🇨🇳 Китай
🇵🇪 Перу
🇹🇳 Тунис
🇮🇩 Индонезия
🇦🇷 Аргентина
🇪🇨 Эквадор
🇮🇳 Индия
🇹🇷 Турция
🇨🇴 Колумбия
🇵🇰 Пакистан
🇰🇷 Южная Корея
🇧🇴 Боливия
🇪🇬 Египет
🇺🇿 Узбекистан
🇹🇿 Танзания
🇨🇱 Чили
🇨🇩 Конго
🇧🇩 Бангладеш
🇵🇾 Парагвай
Также рассмотри любые другие гео и найдём решение под вас!
По поводу сотрудничества писать: @apshbdm</t>
  </si>
  <si>
    <t>Есть** **много трафика с PDF-чеками от конечников (много мерчей) - проставим под метчинг на вашу платежку (10кк+ свободного). 
Есть прямые казино-мерчанты, поставим на обработку площадке с репутацией. 
Нужны прямые мерчанты и агрегаторы по СНГ, экзотике и Европе. 
Заберем Вьетнам QR 
Примем Ваш трафик — пишите с предложениями. 
Нужна эмиссия Узбекистан 🇺🇿 
Бесконечная приемка, заберем любой объем</t>
  </si>
  <si>
    <t>Hi everyone! My name is Artem — I'm in business development at MoneyMania, a payment aggregator for iGaming/betting in Africa.
We cover mobile money and local APMs across 15+ GEOs: Kenya, Nigeria, Tanzania, Ghana, Uganda, Zambia, Ivory Coast, Senegal, Rwanda, Botswana, DRC, Malawi, Gambia and others. Fast onboarding, competitive Pay-in/Pay-out rates, settlements in USDT. Fiat balance, no rolling reserve, high conversion, and the ability to accept** P2P payments in African countries (Ivory Coast</t>
  </si>
  <si>
    <t>🔥 SkyPhoenix — платёжный партнёр для High-Risk ☄️В активном поиске новых команд по Узбекистану 🌐https://skyphoenix.info
🙂@SkyPhoenix_Valeria_KAM</t>
  </si>
  <si>
    <t>🟢 **SwipePay открывает набор на МОБИЛЬНУЮ КОМЕРЦИЮ В КРУГ ♻️ 
**🤝 **Предоставим **полное сопровождение под ключ и работу в круг.
✅ Персональный ментор 24/7 и актуальные методы работы. 
✅ ЛЮБОЙ ОБЪЕМ ВЫПЛАТ 
✅ Минимальный рабочий и Страховой депозит 500$ 
Места ограничены: 
🎙 @Roby_SwipePay
🎙 @SwipePay</t>
  </si>
  <si>
    <t>Estuary — автоматизированный приём платежей для high risk на базе p2p. Работаем с 2023 года.
Почему мы:
✅ Комиссии от 9% (индивидуально)
✅ Подключение за 1 день
✅ 7 секунд на транзакцию
✅ Non dispute system — без диспутов
✅ Каскадная система — конверсия выше
✅ Вывод USDT без задержек
✅ Поддержка 24/7 (ответ за 54 сек)
✅ 20+ ГЕО по запросу
✅ Кастомизация платёжного окна
Доступно: РФ, Казахстан, Беларусь, Узбекистан, Турция и другие.
Напишите — получите индивидуальные условия 🤝</t>
  </si>
  <si>
    <t>All 3d gateway available, SAR link available Instant payout Apple pay work available, GPay work available, Visa Master card,Amex Discover work available, Uk Dubai Canada Australia India gateway available, AED work available,</t>
  </si>
  <si>
    <t>🔥 SkyPhoenix — платёжный партнёр для High-Risk 
☄️В активном поиске новых команд по Азербайджану 
🌐https://skyphoenix.info
🙂SkyPhoenix_Valeria_KAM</t>
  </si>
  <si>
    <t>Usdt/Usdc payment gateway 0.4%/0.1% now for this month of merchants</t>
  </si>
  <si>
    <t>**Подключу на PAYSCROW
А-А внутри-банк,моб.коммерцию, КА, классика РФ, трансгран.
Только актуальные методы работы, менторы и саппорты будут сопровождать в течении всей работы, помогут разобраться с площадкой.
За подключением **@daviddavidsn</t>
  </si>
  <si>
    <t>**🎰 Looking to Launch or Scale a Crypto iGaming Platform? 🚀
We help businesses build modern, secure, and scalable iGaming platforms from the ground up — or upgrade existing casino and sportsbook products.
🔥 What we can build &amp; integrate:
🎰 Online Casino Platform
⚽ Sportsbook &amp; Live Betting
👛 Crypto Wallet &amp; Balance System
💳 Crypto Payment &amp; Deposit/Withdrawal Integration
🛠️ Powerful Admin &amp; Backoffice Panel
🤝 Affiliate, Referral &amp; Agent Systems
🎁 Bonus, VIP &amp; Loyalty Features
📊 Player Management</t>
  </si>
  <si>
    <t>#selling #psp EU UK AU payments , start testing today. Works flawlessly for ret,rec,ftds.</t>
  </si>
  <si>
    <t>🔥 SkyPhoenix — платёжный партнёр для High-Risk 
☄️В активном поиске новых команд по Казахстану
🌐https://skyphoenix.info
🙂SkyPhoenix_Valeria_KAM</t>
  </si>
  <si>
    <t>Hey guys! Arquen Finance here! 
Let me know if you need virtual cards 
Funding: USDT, USDC
We have cards in: EUR, USD, GBP 
Apple Pay ✅ Google Pay ✅
Delivery: API 
White Label available</t>
  </si>
  <si>
    <t>🔥 **Оффер для трейдеров — подключение к OzarkPay**
💳 **Направление:** классика СБП / C2C
🎰 **Трафик:** Gambling
📈 **Ставка на вход:** 9%
🛡 **Страховой депозит:** 500 USDT
💰 **Рабочий депозит:** от 1 000 USDT
💵 **High Check:** от 10 000 ₽
⚡ Быстрое подключение к платформе
📊 Прозрачная работа по заявкам и балансам
🤝 Оперативная поддержка на всех этапах
🚀 Готовность к запуску сразу после подключения и внесения депозитов</t>
  </si>
  <si>
    <t>🔥 SkyPhoenix — платёжный партнёр для High-Risk 
☄️В активном поиске новых команд по Узбекситану
🌐https://skyphoenix.info
🙂@SkyPhoenix_Valeria_KAM</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</si>
  <si>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</si>
  <si>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 **СameL****🐫****подключает к ****🦅**** Payscrow** 🦅
Быстрый старт • Актуальные направления • Поддержка 24/7
━━━━━━━━━━━━━━━
🖥 **МАНУАЛЫ ПОД ВАШУ КОМАНДУ**
Подберём и выдадим лучшие связки под ваш запрос 🐫
📌 Доступны направления:
• Внутрибанк
• Мобильная коммерция
• Контрагенты
• Белые треугольники
• Фермы
• Гос
• Залив
━━━━━━━━━━━━━━━
💸 **МЕТОДЫ И УСЛОВИЯ****🦅**
📍 Все актуальные направления в работе
📍 Курс: **RAPIRA + 1%**
🐫 **Залив (Межбанк)**
• 0₽ – 999₽ — 13%
• От 1000₽ — 8.5%
• От 5</t>
  </si>
  <si>
    <t>At Nexxent, we prefer **"Payment Approved."** ✅
Here's how we help you keep more revenue where it belongs:
💳 Higher payment approval rates
🔐 Secure in-house accounts
📈 Solutions for both high-risk and standard businesses
⚡️ Fast onboarding with flexible KYC
Send me a message or connect with **@NexxentGeorge**.</t>
  </si>
  <si>
    <t>Who need ftd ⁉️
Selling ready ftd ‼️
☎️ (ftd data, chargebacks, recovery, big depositors too available) 🔮
Prepay only ✅</t>
  </si>
  <si>
    <t>A0</t>
  </si>
  <si>
    <t>B0</t>
  </si>
  <si>
    <t>**GAMBLING ADS**
АГЕНТСТВО WEFUN ПРЕДОСТАВЛЯЕТ
👉 Аккаунт BM2500 — чистый, новый
👉 Лимит расходов в день: 250$, 1500$, Безлимит
👉 Рекламный аккаунт СТАРЫЙ и имеет сильную историю
👉 Бесплатная ЗАМЕНА рекламного аккаунта при блокировке
👉 Поддержка 24/7
👉 Без скрытых комиссий
✅ Все часовые пояса (часовой пояс +2, +3 всегда доступен)
🏓 Азартные игры 📦Дропшиппинг 💵Крипта 🎰Казино 💰Инвест
💰 Быстрое пополнение
💰 ОПЛАТА: USDT, BTC, ETH, Payoneer, Wise
WEFUN AGENCY PROVIDES
✅ BM2500 Account – Clean, New – Smooth and Stable Delivery
✅ Spend limit daily will be 250$, 1500$, Nolimit
✅ Ads Account is OLD and have strong Spend history
✅ Free REPLACE Ads Account when Ban
✅ Support 24/7
✅ No hidden fees
✅ All timezones accepted (Time zone +2, +3 always available)
💊 Nutra 🏓Gambling 📦Dropshipping 💵Crypto 🎰Casino 💰Invest
💰 Fast Top up
💰 PAY: USDT, BTC, ETH, Payoneer, Wise
#WeFunagency | #Meta
🏠 Ads account rental service:
📩 For all questions : @meuth_wefunagency | @ceuth_agency
📩 Please subscribe to the channel: @wefun_agency</t>
  </si>
  <si>
    <t>Hey guys! Arquen Finance here! 
Let me know if you need virtual cards 
Funding: USDT, USDC
We have cards in: EUR, USD, GBP
Delivery: API
White Label on special terms available!</t>
  </si>
  <si>
    <t>💎Forex crypto Base-premium leads awaits
Available segments:
🔹 Forex/crypto Chargeback
🔹 Ready FTDS
🔹 Depositors
🔹 Recovery leads
🔹 Registrations
🔹 Live Recovery
⚡ ALSO HAVE FLASH COINS
🪙 Supporting;BEP20,ERC20, TRC20
💰 COINS: BTC, USDT, ETH, SOLANA.
♻️ Replacement support
📬 DM to connect</t>
  </si>
  <si>
    <t>❗️**DECRYPT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****@Moryak_DecryptPay**</t>
  </si>
  <si>
    <t>Welcome bro! Yes we provide that .</t>
  </si>
  <si>
    <t>needs a large number of Indian customers
Large daily demand for USDT
🤩1 USDT = 115-150 Indian Rupees🤩
🤩1 USDT = 115-150 Indian Rupees🤩
🤩1 USDT = 115-150 Indian Rupees🤩
🔥 Available Fund Types
✔️Hacker Fund
✔️Cash Deposits 
✔️Equity Funds 
✔️Mixed Funds 
✔️Gaming Funds 
Mixed Funds are only available for UPI/IMPS payments.
Integrity/Security/Efficiency/Stability
➖➖➖➖➖➖➖➖➖➖➖ 
👍👍👍We are a large  company headquartered in Hong Kong, China, with a very strong position in the Indian payments market.
Our company has a large team of 100 sales representatives to We handle this work and work with over 500 Indian clients. We also offer substantial monthly bonuses to those who deliver high volumes of work. Contact us, and we'll provide a video showcasing our office environment and robust order system. Whatever order you need, we can help you fulfill it, and our prices are among the highest in the market. 👍👍👍
In addition, we select several Indian employees each month and reward them based on their performance. Since the company's inception, we have distributed 168 iPhones and generous cash bonuses.
➖➖➖➖➖➖➖➖➖➖➖
💳The more USDT you provide during the transaction, the more profits you earn💰
If you don't have USDT to sell, please don't waste your time. If you really want to participate and earn money, please contact us.
🫵🏼We urgently need long-term, stable partners! 🫵🏼
Contact me and I will arrange a salesperson for you. 222
✈️Telegram： @fcaa8888888
✈️Telegram：@L850517
✈️Telegram： @cjj135117
✈️Telegram： @usdt66999999
✅Telegram group： @abcinrtousdt</t>
  </si>
  <si>
    <t>#Supply
**✅ 【Huidu Escrow Verified Group Supply and Demand】** —————————————————————————— 
**HUIDU #1️⃣2️⃣6️⃣ Fourstar Card Merchant &amp; USDT Exchange (5,000 USDT Deposit)**
Business Introduction：
Fourstar Card Merchant &amp; USDT Exchange
Fourstar is a Bangladesh-based card merchant and USDT exchange service provider, offering reliable payment solutions for businesses and individuals.
Our Services
Public Cards
Private Cards
Corporate Cards
USDT Exchange Solutions
B2B USDT Exchange Services
Private Card-Based USDT Transactions
Instant Settlement Processing
Payment Methods
We support major Bangladeshi payment channels, including:
bKash
Nagad
Rocket
Why Choose Fourstar?
Professional and experienced team
Fast and secure transaction processing
Instant settlement solutions
Specialized expertise in the iGaming industry
More than 1 year of industry experience
Business Cooperation
Telegram: @Fourstar12 
@CEO_PAY00 @Aloneboy_7d @COBRA20008 
We are committed to providing efficient, secure, and professional payment and exchange solutions tailored to the needs of our clients.
GroupLink：https://t.me/+4fCkMfMWpZo3NDky</t>
  </si>
  <si>
    <t>**Payment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</si>
  <si>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Hello everyone. I provide payment solutions for India, Vietnam, the Philippines, Thailand, and Indonesia. Please contact me if you are interested. @goodpayst</t>
  </si>
  <si>
    <t>Предоставим платежное решение для вашего интернет магазина, обменника, гемблинг проекта 
Классика 
Диплинк 
Трансгрн 
Бт с пдф чеками</t>
  </si>
  <si>
    <t>💵 **Direct Payments for Forex, Crypto &amp; Recovery**
No aggregators. No sub-agents. No unnecessary fees.
**White Change works directly with your brand.**
⚡️ T+0 settlement
🌍 Europe &amp; LATAM
💰 Fixed fees
🚀 Fast setup
💸 Payment solutions for FTD and RETENTION
**One provider. Direct responsibility.**
✉️ @WHITE_CHANGE_CRYPTO
**SPONSORED**</t>
  </si>
  <si>
    <t>PSP 🇮🇳India first-hand payment solution provider
(P2P, P2C, H2H, UPI Intent)
⚠️No need to fill in UTR
1️⃣Igaming traffic
2️⃣Forex traffic 
💻DM:@Eternity_99</t>
  </si>
  <si>
    <t>Silkpay — India Payment Provider
🇮🇳iGaming &amp; Forex
⚡️ UPI Intent &amp; H2H Mode
DM @Amy_Silkpay for a demo and rates !</t>
  </si>
  <si>
    <t>Declined payments? That's money saying, "Maybe next time." 💸
At Nexxent, we prefer **"Payment Approved."** ✅
Here's how we help you keep more revenue where it belongs:
💳 Higher payment approval rates
🔐 Secure in-house accounts
📈 Solutions for both high-risk and standard businesses
⚡️ Fast onboarding with flexible KYC
Ready to give your payment processing an upgrade? Send me a message or connect with **@NexxentGeorge**.</t>
  </si>
  <si>
    <t>#Selling #Payments
💸Direct payment solutions for Forex brokers.
Available in DE, IT, ES, FR &amp; LATAM (ARS).
✉️ Let's discuss a potential partnership.</t>
  </si>
  <si>
    <t>👋 Hello everyone, we are offering Wires Payments Solutions,
✅ Vban -IBANs under Client Name Available in:
🇫🇷 France | 🇱🇺 Luxembourg
🇳🇱Netherlands | 🇵🇱Poland
🇱🇹Lithuania | 🇨🇾 Cyprus
🇬🇷Greece | 🇲🇹 MT | 🇩🇰 DK
IBAN C2B (NO KYC) 
🇨🇦 Canada (Interac)
Support 09:00 - 21:00 (UTC +3)
Settle up to 48H
Dm for more details 🤝</t>
  </si>
  <si>
    <t>Hey everyone! 👋
I'm from Fenito.
We provide local payment solutions for iGaming in CIS, Turkey, and Asia — T+0, USDT balance, any volumes, no hidden fees.
We already work with Zooma, Playfortuna, and 1xbet — so we know how to build stable payment flows for top-tier operators.
If you need a reliable solution — let's talk in DMs</t>
  </si>
  <si>
    <t>#selling #Payment Psp for ftds!
90%+ approval - au, NZ, eu and more 👌
Weekly settlements , instant setup✅✅✅
DM for more information‼️</t>
  </si>
  <si>
    <t>👋 Hello everyone, we are offering Wire Payments Solutions,
✅ Vban -IBANs under Client Name in EU SEPA 🇪🇺
🇨🇦 Canada (Wire + swift)
Support 09:00 - 21:00 (UTC +3)
Settle up to 48H
Dm for more details 🤝</t>
  </si>
  <si>
    <t>Всем привет! 👋 Я представляю 24PayBase.
Предоставляем P2P/P2C платежные решения для iGaming и других высокорисковых вертикалей. На данный момент доступны следующие гео:
🇺🇦 Украина - Card P2P / Deeplink (Mono, Privat)
🇮🇳 Индия - UPI / QR
🇵🇰 Пакистан - Easypaisa, JazzCash, Raast QR
🇦🇿 Азербайджан - P2P
🇺🇿 Узбекистан - Humo, Uzcard, Payme, Click, Uzum
🇧🇩 Бангладеш - bKash, Nagad
🇧🇷 Бразилия - PIX
🇦🇷 Аргентина - CVU/CBU
✅ T+0 по большинству гео
✅ Сеттл в USDT
✅ H2H и Redirect-интеграции
✅ Работаем с любым типом трафика
Если интересно - пишите в личные сообщения, буду рад обсудить сотрудничество.</t>
  </si>
  <si>
    <t>#selling #payments #forex 
👋 Direct payments for Forex Brokers.
💸 DE, IT, FR, ES, IE, NL, LT + Argentina 🇦🇷 . 
💼 Same-day settlements.
✉️ DM if you run the show.</t>
  </si>
  <si>
    <t>👋 Hello everyone, we are offering Wires Payments Solutions,
✅ Vban -IBANs under Client Name Available in:
🇫🇷 France | 🇱🇺 Luxembourg
🇳🇱Netherlands | 🇵🇱Poland
🇱🇹Lithuania | 🇨🇾 Cyprus
🇬🇷Greece | 🇲🇹 MT | 🇩🇰 DK
IBAN C2B (NO KYC) 
🇨🇦 Canada (Wire + interac)
Support 09:00 - 21:00 (UTC +3)
Settle up to 48H
Dm for more details 🤝</t>
  </si>
  <si>
    <t>Добрый день, коллеги!
Предоставляем платежные решения для гемблинг-проектов в таких гео, как Кыргызстан, Армения и Аргентина.
Готовы принимать и качественно обрабатывать ваш гемблинг-трафик, обеспечивая высокий уровень сервиса и стабильную работу платежей.
Открыты к новым партнёрствам и готовы обсудить индивидуальные условия.
За подробностями и предложениями — пишите в личные сообщения.
Hello, colleagues!
We provide payment solutions for gambling projects in key GEOs, including Kyrgyzstan, Armenia, and Argentina.
We are ready to accept and process your gambling traffic with a high level of service, reliable payment processing, and stable operations.
We are open to new partnerships and happy to discuss tailored conditions.
For more details and partnership proposals, feel free to contact us via DM.</t>
  </si>
  <si>
    <t>I have indian paying solutions like 
UPI IMPS RTGS available for high risk FX CFD GAM with usdt settlement</t>
  </si>
  <si>
    <t>💵Добрый день всем, мы P2P решение под хай-риск бизнес - Equaringo 💵
Находимся в поиске трафика по РФ:
1️⃣Карточные методы (C2C, СБП): чек 5000+; 10000+
2️⃣Белые треугольники: чек 1000+
3️⃣Мобильная коммерция: чек 1000+
🔤Готовы работать как с прямыми мерчантами, так и с агрегаторами🔤
⭐️Также работаем по таким гео: ЛАТАМ, ИНДИЯ, КОРЕЯ
⏱Если есть хорошие предложения, то жду в лс: @equaringo_biz</t>
  </si>
  <si>
    <t>#Supply
**✅ 【Huidu Escrow Verified Group Supply and Demand】** —————————————————————————— 
**Huidu Verified Escrow Group 3️⃣5️⃣ - StarPay | Payment Gateway - Deposit 5000usdt**
⭐️ StarPay | Payment Gateway
一、业务介绍 | Business Overview
🏆 专注于为游戏平台、电商及企业提供安全、稳定、高效的支付解决方案。
Providing secure, stable, and efficient payment solutions for gaming platforms, e-commerce, and businesses.
🥇 深耕孟加拉支付市场，支持高并发、高成功率与极速结算。
Specialized in Bangladesh payment infrastructure with high concurrency, high success rates, and fast settlement.
🤝 StarPay 是您值得长期信赖的全球支付合作伙伴。
StarPay is your trusted long-term global payment partner.
---
二、我们的优势 | Our Advantages
🥇 孟加拉支付专家
Bangladesh Payment Expert
🥇 支持金额范围 | Supported Transaction Range
• bKash：100–50,000 BDT
• Nagad：100–50,000 BDT
• Rocket：100–50,000 BDT
🥇 通道成功率 | Channel Success Rate
80%+ Success Rate
稳定、高效的支付通道，确保更高的交易成功率。
Stable and efficient payment channels with an 80%+ transaction success rate.
🥇 USD 极速结算 | Instant USD Settlement
Settlement Time: 0
无需等待，实时完成 USD 结算。
No waiting. Real-time USD settlement.
🥇 高成功率 · 极速结算
稳定通道，资金快速到账，满足高流量业务需求。
High Success Rate · Fast Settlement
Reliable channels with rapid settlement for high-volume businesses.
🥇 7×24 小时服务 | 24/7 Service
专业商务、客服及技术团队全天候在线。
Professional business, customer support, and technical team always online.
---
三、支持地区 | Supported Regions
🇧🇩 孟加拉国
🇮🇳 印度
🇵🇰 巴基斯坦
🌏 更多国家持续接入中……
Bangladesh • India • Pakistan • More Regions Coming Soon
---
📞 商务负责人 | Business Contact
StarPay Payment Gateway
Fast • Secure • Reliable
📩 Telegram: @Star_09124
👤 Admin: @Xynb10045
**Escrow Group Link:**
https://t.me/+qVy03Q3Dk344NzQ0</t>
  </si>
  <si>
    <t>#ADS 
1️⃣1️⃣1️⃣｜Asia’s Leading iGaming Provider
Game API × Global White Label × China Payment Solutions
😊More than a game provider — your trusted iGaming partner
From platform setup and game integration to payment and operational support, we deliver complete solutions to accelerate your business growth.
🩷❤🧡Why Partner With DB Gaming?
✅Launch your iGaming brand with our all-in-one solution
✅Sports, Live Casino &amp; more via seamless API integration
✅Smart backend with real-time analytics
✅Professional team with 24/7 technical support
🚀Get your iGaming business live in just 7 days!
➡2026 Launch Offer Now Available
🤥Contact Us：@dbgmBot
📱Game API Integration
🌐Global White Label Solutions
🔡China Payment Solutions
🌐Website：www.dbgaming.com
🔈We're Hiring
🔔Careers：@dbgaminghr</t>
  </si>
  <si>
    <t>#selling
PSP solution 
Norway / Germany / Uk / NL</t>
  </si>
  <si>
    <t>Soclean Merchant, [10 Aug 2026 at 6:27:18 AM]:
**Payment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</si>
  <si>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**Payment Soluton**
__Vietnam 🇻🇳、Indonesia 🇮🇩、Philippines 🇵🇭、__Pakistan 🇵🇰__、Brazil 🇧🇷、Colombia 🇨🇴、Peru 🇵🇪、Mexico 🇲🇽__
⭐️iGaming
⭐️Forex
⭐️Whitelabel 
⭐️iGaming Provider
⭐️Prediction Market
⭐️Forex without license</t>
  </si>
  <si>
    <t>Hi everyone! 👋 I'm from 24PayBase.
We provide P2P/P2C payment solutions for iGaming and other high-risk verticals. Our currently available geos are:
🇺🇦 Ukraine - Card P2P / Deeplink (Mono, Privat)
🇮🇳 India - UPI / QR
🇵🇰 Pakistan - Easypaisa, JazzCash, Raast QR
🇦🇿 Azerbaijan - P2P
🇺🇿 Uzbekistan - Humo, Uzcard, Payme, Click, Uzum
🇧🇩 Bangladesh - bKash, Nagad
🇧🇷 Brazil - PIX
🇦🇷 Argentina - CVU/CBU Mercado Pago P2P/P2C
✅ T+0 settlement for most geos
✅ Settlement in USDT
✅ H2H and Redirect integrations
✅ Any type of traffic is accepted
If you're interested, feel free to send me a DM. I'd be happy to discuss potential cooperation.</t>
  </si>
  <si>
    <t>Всем привет!
Представляю платежную инфраструктуру для high-risk проектов.
На сегодняшний день доступны локальные решения для:
🇺🇿 Узбекистан — Humo, Uzcard (Pay-In / Pay-Out)
🇰🇬 Кыргызстан — P2P Cards (Pay-In / Pay-Out)
🇦🇲 Армения — FastShift, Telcell, P2P (Pay-In / Pay-Out)
🇪🇬 Египет — локальные wallet-решения (Vodafone Cash, Etisalat Cash, Orange Cash, Instapay и др.)
🇦🇷 Аргентина — Bank Transfer / CVU (Pay-In / Pay-Out)
🇷🇺 Россия — SBP, C2C (Pay-Out)
✔ Local Pay-In / Pay-Out
✔ API / H2H Integration
✔ Settlement в USDT
Если сейчас ищете платежное решение для одного из этих GEO или планируете запуск нового рынка — пишите в личные сообщения. Обсудим ваш кейс и посмотрим, чем можем помочь</t>
  </si>
  <si>
    <t>#Selling Hello!
My name is Kirill,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</si>
  <si>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Hello!
My name is Kyle,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</si>
  <si>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[08.08.2026 13:07] Genri Finex: ✍️✍️✍️✍️✍️✍️✍️✍️✍️✍️✍️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</si>
  <si>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**#Supply**
**No:** 0510
**
Supply Resource: BULLPAY Multi-Currency Payment Gateway &amp; Merchant Onboarding**
**Resource Details:** **BULLPAY**, owned and operated by RynixSoft, provides multi-currency payment processing and merchant onboarding solutions for B2B businesses across India, Pakistan, and crypto markets.
**INR Processing:** Supporting Pay-In at 6% + ₹6 and Pay-Out at 3% + ₹6 per transaction, with specialized Safe Withdrawal routes available.
**PKR Processing:** Offering Pay-In through EasyPaisa at 7% and JazzCash at 6%, with Pay-Out at a 4% flat rate.
**USDT Processing:** Supporting crypto Pay-In at 3% and Pay-Out at 1%, providing an additional settlement option for international businesses.
**Merchant Services:** Currently accepting new merchant accounts with fiat and crypto processing solutions designed for B2B payment operations.
**Contact: ** @lawrasur 
@rynixsoft
**Supply/Demand Resource on ****Huidu.in****: 
****https://huidu.in/en/business/30037**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</si>
  <si>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Hello everyone!
**FlashPay** provides local payment solutions for High Risk projects.
Asia, SEA, LatAm, Africa, CIS, Oceania
Interested? Send us a DM 📩</t>
  </si>
  <si>
    <t>🚀 Hello everyone!
FlashPay provides local payment solutions for High Risk industries with support for a wide range of GEOs 🌍
Our solutions are available in the following regions:
🌍 **MENA Region**
🇸🇦 Saudi Arabia 🇦🇪 UAE
🇧🇭 Bahrain 🇯🇴 Jordan 🇸🇾 Syria
🌍 **Africa**
🇪🇬 Egypt 🇳🇬 Nigeria 🇰🇪 Kenya
🇹🇿 Tanzania 🇸🇳 Senegal 🇿🇲 Zambia
🇨🇮 Ivory Coast 🇨🇲 Cameroon
🇺🇬 Uganda 🇷🇼 Rwanda
🌎 **Latin America**
🇧🇷 Brazil 🇲🇽 Mexico 🇦🇷 Argentina
🇨🇴 Colombia 🇨🇱 Chile 🇵🇪 Peru
🇧🇴 Bolivia 🇻🇪 Venezuela
🌏 **Asia**
🇮🇳 India 🇮🇩 Indonesia 🇻🇳 Vietnam
🇹🇭 Thailand 🇲🇾 Malaysia 🇰🇷 South Korea
🇵🇰 Pakistan 🇲🇳 Mongolia
🌍 **CIS &amp; Europe**
🇦🇿 Azerbaijan 🇺🇿 Uzbekistan
🇹🇷 Turkey 🇵🇱 Poland
Looking for stable payment solutions for your project?
We are ready to discuss cooperation and provide the most suitable payment solution for your GEO.
📩 Feel free to contact us via DM!</t>
  </si>
  <si>
    <t>Greetings from MACPAY! ❤️
If you are looking for reliable gaming/foreign exchange payment solutions, please contact me via private message.
Regions:
South Korea | Vietnam | Indonesia | India | Brazil | Bangladesh | Ethiopia | Philippines | Côte d'Ivoire | Malaysia | Hong Kong</t>
  </si>
  <si>
    <t>✍️✍️✍️✍️✍️✍️✍️✍️✍️✍️✍️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</si>
  <si>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 ZIPPAY Global Payments｜Global Payment Solutions
🌍 One-Stop Global Payment Solution
ZIPPAY provides stable, secure, and efficient payment solutions for global merchants, businesses, and platforms. We connect worldwide payment channels to help businesses expand into international markets with seamless payment acceptance and reliable settlement services.
🔥 Featured Payment Solutions:
🇺🇸 US Dollar Online Payment Channel
✅ Support USD payment scenarios
✅ Stable processing with high approval rates
✅ Designed for global merchants and businesses
✅ Professional payment solutions with technical support
🇨🇴 Colombia PSE Local Online Payment
✅ Native Colombian bank payment method
✅ Fast and convenient local payment experience
✅ Helping businesses enter the Latin American market
✅ Reliable payment support for overseas expansion
💳 More Global Payment Services:
✅ Visa / MasterCard Payment Acceptance
✅ Apple Pay / Google Pay Payments
✅ Cash App Payment Channel
✅ India UPI Native Payments
✅ Global Collection &amp; Settlement Services
Whether you are running a cross-border business, online platform, gaming, digital service, or global marketplace, ZIPPAY provides customized payment solutions to support your worldwide expansion.
🚀 Connect Global Payments. Grow Your Business Without Borders.
📩 Telegram Contact:
✈️ @yindu884
✈️ @zippay00005
✈️ @Zippay00001
✈️ @jkjk999999</t>
  </si>
  <si>
    <t>🚀🚀🚀 ZIPPAY Global Payments 🚀🚀🚀
🌍 Global Payment Solutions
Providing secure, reliable, and high-capacity payment and settlement solutions for businesses worldwide.
━━━━━━━━━━━━━━━━━━
💳 Visa / Mastercard
🇺🇸 US Payment Channels
🇮🇳 India Native Payment Channels
💳 Cash App Payment Channel
💵 Global Settlement Services
✅ Global Collections
✅ Global Payouts
✅ US Settlement Services
✅ India Settlement Services
✅ USDT Exchange &amp; Settlement
Global payment customer volume (Category I and II)
━━━━━━━━━━━━━━━━━━
✅ Stable payment channels with high success rates
✅ Fast and efficient settlement
✅ High-volume transaction support
✅ Multi-country payment coverage
✅ Professional technical &amp; customer support
✅ Enterprise-grade payment solutions
✅ Competitive pricing for long-term partners
━━━━━━━━━━━━━━━━━━
🤝 Our Services
✔️ Enterprise Payment Solutions
✔️ Cross-Border Payments &amp; Settlement
✔️ Business Partnerships
✔️ Channel Partnerships
━━━━━━━━━━━━━━━━━━
✈️ Telegram
@yindu884
@zippay00005
@jkjk999999</t>
  </si>
  <si>
    <t>null by rows</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</si>
  <si>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 юз: rezhunozhem</t>
  </si>
  <si>
    <t>🐫 CameL  подключит на TradeMO 🤩
🤩 Общий трафик СБП + карты с уже готовыми решениями под залив и «ферму»:
💰 0₽–1999₽ — 13%
💰 2001₽–4000₽ — 7,5%
💰 от 4000₽ — 7%
💰 от 10.000₽ — 6%
🔄 В круг: до 16,5% 🤩
🔥 VIP SBP (только проверенные КА + высокий чек):
💰 2001₽–4000₽ — 7,5%
💰 от 4000₽ — 7%
🔄 В круг: до 10,5% 🤩
🏦 Альфа → Альфа (с подробными инструкциями):
💸 Любая сумма — 6,5%
🔄 В круг: до 9,5% 🤩
📱 SIM-направление (мануал + бот откупа):
💰 до 2000₽ — 13%
🔄 В круг: до 16% 🤩
📊 Единая сетка выплат по всем направлениям:
▫️ до 15.000₽ — 3%
▫️ 15.000₽–35.000₽ — 2%
▫️ 35.000₽–70.000₽ — 2,5%
▫️ 70.000₽–300.000₽ — 2%
⏰ Prime Time бонус: +0,5–1% к профиту 🤩
💱 Единый курс RUB:
🤩 Рапира +1%
🤩Первая строка
🤩 Красный стакан
🤩 Запуск ваших методов с полной поддержкой и сопровождением
🤩 Уникальный маркетплейс мануалов «ТМетод»
🐫 За подробностями — в ЛС  @cameltll 🐫</t>
  </si>
  <si>
    <t>**🔥**** ПОДКЛЮЧИТЬСЯ К GO6 ****🔥****
****🌐****Ставки:
****⬇️****⬇️****⬇️****⬇️****⬇️****⬇️****⬇️****⬇️****⬇️****
****➡️****16% чеки 100–999****🪙****
****➡️****14% чеки 1 000–4 999****🪙****
****➡️****12% чеки от 5 000****🪙****
****➡️****8% на VIP чеки от 10 000****🪙****
****⬆️****⬆️****⬆️****⬆️****⬆️****⬆️****⬆️****⬆️****⬆️****
****😨****Выплаты - 2****🤍****
****🛜**** Своим трейдерам предоставляю мануалы на моб ком, гу, физ карты
****📣****Для связи - **
**rezhunozhem
Young_Knife
Butterflly_Knife**</t>
  </si>
  <si>
    <t>🤩 **Pay4Amg** 🤩
📢**Pay in**(Сбп/С2С):
🟠**1-5к - 13.5%**
🟠**5-10к - 12.5%**
🟠**10к+ - 10%**
📢**Pay out**(Сбп/С2С):
🟠**1% за все чеки** (Rapira)
🟠**Трангсран огромные объемы**
🟠**Моб коммерция - 16%**
🟠**Любые монобанки**
🟠**НСПК** (как мультик, так и ру)
🟠**Качественные контрагенты**
🟠**БТ с PDF чеками - 9.5%**
📢**Новые гео** в работе:
🇹🇯**Таджикистан**
🇰🇿**Казахстан**
🇻🇪**Венесуэла**
🇺🇿**Узбекистан**
🇦🇷**Аргентина**
🇮🇳**Индия**
🇪🇬**Египет**
🇦🇿**Азербайджан**
❕**По остальным гео уточнять, сможем добавить по запросу**
⚡️**Огромные объемы** трафика, классный интерфейс, **поддержка 24/7** для каждого трейдера!
✔️**Частые розыгрыши**, созвоны, личные менторы и **штатные тимлиды**, которые помогут вам работать с любым материалом и выжимать из него **максимум**
❕Для тимлидов **пожизненный 1%** за приведенных трейдеров + **бонусы от меня**
⚡️**KYC ДЛЯ РАБОТЫ НЕ НУЖЕН**
**Работай с лучшими** - 🤩
✈️**По поводу подключения** - @pay4amg_ceo</t>
  </si>
  <si>
    <t>B-1</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</si>
  <si>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t>
  </si>
  <si>
    <t>**GIRA &amp; PAY2PROFIT обновляют СТАВКИ**
❗️Специально для своих выбила лучшие условия подключения👇
**Классика, фермы, залив:**
0-99к/сутки - 10.5%
100к-199к/сутки - 11.5%
от 200к/сутки - 12.5%
❗️Высокие обороты - индивидуальная ставка
**БТ:**
12.5%
❗️Стабильный оборот от 100к/сутки - повышенная ставка
**МК:**
15%
Страховой депозит прогрессивный - 10% от суточного оборота
**Минимальный страховой - 150$**
Пиши сейчас - работай уже через 60 минут
💌За подключением: @Gira_TL</t>
  </si>
  <si>
    <t>🚨 **Pro-Level Platform + CRM Built to Crush the Market** 🚨
⚡️ Flawless 24/7 performance &amp; full automation
📈 Perfect for Forex, Crypto, CFD &amp; Recovery brands
💳 Seamless PSP integration – more deposits, less hassle
🌟 **Your own branded website FREE with every deal**
🔥 Stop settling for average, level up NOW
💥 **Everything you need is waiting in my bio**</t>
  </si>
  <si>
    <t>☑️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rezhunozhem  Butterflly_Knife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</si>
</sst>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204"/>
      <scheme val="minor"/>
    </font>
    <font>
      <sz val="8"/>
      <name val="Calibri"/>
      <family val="2"/>
      <scheme val="minor"/>
    </font>
    <font>
      <sz val="11"/>
      <color rgb="FF000000"/>
      <name val="Calibri"/>
      <family val="2"/>
      <scheme val="minor"/>
    </font>
    <font>
      <sz val="11"/>
      <color rgb="FF434343"/>
      <name val="Roboto"/>
    </font>
    <font>
      <b/>
      <sz val="11"/>
      <color theme="1"/>
      <name val="Calibri"/>
      <family val="2"/>
      <scheme val="minor"/>
    </font>
  </fonts>
  <fills count="19">
    <fill>
      <patternFill patternType="none"/>
    </fill>
    <fill>
      <patternFill patternType="gray125"/>
    </fill>
    <fill>
      <patternFill patternType="solid">
        <fgColor rgb="FFEBF3FB"/>
      </patternFill>
    </fill>
    <fill>
      <patternFill patternType="solid">
        <fgColor rgb="FFFDF6EC"/>
      </patternFill>
    </fill>
    <fill>
      <patternFill patternType="solid">
        <fgColor rgb="FFFDECEA"/>
      </patternFill>
    </fill>
    <fill>
      <patternFill patternType="solid">
        <fgColor rgb="FFF0F7EC"/>
      </patternFill>
    </fill>
    <fill>
      <patternFill patternType="solid">
        <fgColor rgb="FFD6E8F7"/>
      </patternFill>
    </fill>
    <fill>
      <patternFill patternType="solid">
        <fgColor rgb="FFFAD9D7"/>
      </patternFill>
    </fill>
    <fill>
      <patternFill patternType="solid">
        <fgColor rgb="FFE1F0DA"/>
      </patternFill>
    </fill>
    <fill>
      <patternFill patternType="solid">
        <fgColor rgb="FFEBF3FB"/>
        <bgColor rgb="FF000000"/>
      </patternFill>
    </fill>
    <fill>
      <patternFill patternType="solid">
        <fgColor rgb="FFFDECEA"/>
        <bgColor rgb="FF000000"/>
      </patternFill>
    </fill>
    <fill>
      <patternFill patternType="solid">
        <fgColor rgb="FFF0F7EC"/>
        <bgColor rgb="FF000000"/>
      </patternFill>
    </fill>
    <fill>
      <patternFill patternType="solid">
        <fgColor rgb="FFD6E8F7"/>
        <bgColor rgb="FF000000"/>
      </patternFill>
    </fill>
    <fill>
      <patternFill patternType="solid">
        <fgColor rgb="FFFAD9D7"/>
        <bgColor rgb="FF000000"/>
      </patternFill>
    </fill>
    <fill>
      <patternFill patternType="solid">
        <fgColor rgb="FFE1F0DA"/>
        <bgColor rgb="FF000000"/>
      </patternFill>
    </fill>
    <fill>
      <patternFill patternType="solid">
        <fgColor rgb="FFD6F0D6"/>
        <bgColor indexed="64"/>
      </patternFill>
    </fill>
    <fill>
      <patternFill patternType="solid">
        <fgColor rgb="FFF5D0CE"/>
        <bgColor indexed="64"/>
      </patternFill>
    </fill>
    <fill>
      <patternFill patternType="solid">
        <fgColor rgb="FFFFFFFF"/>
        <bgColor indexed="64"/>
      </patternFill>
    </fill>
    <fill>
      <patternFill patternType="solid">
        <fgColor rgb="FFF6F8F9"/>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right/>
      <top style="thin">
        <color theme="1"/>
      </top>
      <bottom style="thin">
        <color theme="1"/>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2" borderId="1" xfId="0" applyFill="1" applyBorder="1" applyAlignment="1">
      <alignment horizontal="center"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0" fillId="8" borderId="1" xfId="0" applyFill="1" applyBorder="1" applyAlignment="1">
      <alignment horizontal="center" vertical="top" wrapText="1"/>
    </xf>
    <xf numFmtId="0" fontId="3" fillId="9" borderId="1" xfId="0" applyFont="1" applyFill="1" applyBorder="1" applyAlignment="1">
      <alignment horizontal="left" vertical="top" wrapText="1"/>
    </xf>
    <xf numFmtId="0" fontId="3" fillId="9" borderId="2" xfId="0" applyFont="1" applyFill="1" applyBorder="1" applyAlignment="1">
      <alignment horizontal="left" vertical="top" wrapText="1"/>
    </xf>
    <xf numFmtId="0" fontId="3" fillId="10" borderId="2" xfId="0" applyFont="1" applyFill="1" applyBorder="1" applyAlignment="1">
      <alignment horizontal="left" vertical="top" wrapText="1"/>
    </xf>
    <xf numFmtId="0" fontId="3" fillId="11" borderId="2" xfId="0" applyFont="1" applyFill="1" applyBorder="1" applyAlignment="1">
      <alignment horizontal="left" vertical="top" wrapText="1"/>
    </xf>
    <xf numFmtId="0" fontId="3" fillId="12" borderId="2" xfId="0" applyFont="1" applyFill="1" applyBorder="1" applyAlignment="1">
      <alignment horizontal="left" vertical="top" wrapText="1"/>
    </xf>
    <xf numFmtId="0" fontId="3" fillId="13" borderId="2" xfId="0" applyFont="1" applyFill="1" applyBorder="1" applyAlignment="1">
      <alignment horizontal="left" vertical="top" wrapText="1"/>
    </xf>
    <xf numFmtId="0" fontId="3" fillId="14" borderId="2" xfId="0" applyFont="1" applyFill="1" applyBorder="1" applyAlignment="1">
      <alignment horizontal="left" vertical="top" wrapText="1"/>
    </xf>
    <xf numFmtId="0" fontId="1" fillId="15" borderId="3" xfId="0" applyFont="1" applyFill="1" applyBorder="1" applyAlignment="1">
      <alignment vertical="top" wrapText="1"/>
    </xf>
    <xf numFmtId="0" fontId="1" fillId="16" borderId="3" xfId="0" applyFont="1" applyFill="1" applyBorder="1" applyAlignment="1">
      <alignment vertical="top" wrapText="1"/>
    </xf>
    <xf numFmtId="0" fontId="4" fillId="17" borderId="4" xfId="0" applyFont="1" applyFill="1" applyBorder="1" applyAlignment="1">
      <alignment vertical="center" wrapText="1"/>
    </xf>
    <xf numFmtId="0" fontId="4" fillId="18" borderId="5" xfId="0" applyFont="1" applyFill="1" applyBorder="1" applyAlignment="1">
      <alignment vertical="center" wrapText="1"/>
    </xf>
    <xf numFmtId="0" fontId="4" fillId="17" borderId="5" xfId="0" applyFont="1" applyFill="1" applyBorder="1" applyAlignment="1">
      <alignment vertical="center" wrapText="1"/>
    </xf>
    <xf numFmtId="0" fontId="4" fillId="17" borderId="6" xfId="0" applyFont="1" applyFill="1" applyBorder="1" applyAlignment="1">
      <alignment vertical="center" wrapText="1"/>
    </xf>
    <xf numFmtId="0" fontId="5" fillId="0" borderId="7" xfId="0" applyFont="1" applyBorder="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8F7DB-D023-4846-A9F9-92FF6D427265}" name="Таблиця1" displayName="Таблиця1" ref="A1:D234" totalsRowShown="0">
  <autoFilter ref="A1:D234" xr:uid="{D7B8F7DB-D023-4846-A9F9-92FF6D427265}"/>
  <tableColumns count="4">
    <tableColumn id="1" xr3:uid="{FF98355E-C806-44FE-89E8-A8F3B48556C4}" name="text"/>
    <tableColumn id="2" xr3:uid="{568E87A1-2334-45E4-8360-46552F0810D1}" name="group"/>
    <tableColumn id="3" xr3:uid="{014E1566-1116-43FB-AA5C-0349279277C6}" name="label"/>
    <tableColumn id="4" xr3:uid="{90AF7024-FAE8-49E4-8E88-979A5AFA3D23}" name="lang"/>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4"/>
  <sheetViews>
    <sheetView tabSelected="1" workbookViewId="0">
      <selection activeCell="I4" sqref="I4"/>
    </sheetView>
  </sheetViews>
  <sheetFormatPr defaultRowHeight="14.4" x14ac:dyDescent="0.3"/>
  <cols>
    <col min="1" max="1" width="55.6640625" customWidth="1"/>
    <col min="3" max="3" width="15" bestFit="1" customWidth="1"/>
  </cols>
  <sheetData>
    <row r="1" spans="1:4" x14ac:dyDescent="0.3">
      <c r="A1" t="s">
        <v>0</v>
      </c>
      <c r="B1" t="s">
        <v>1</v>
      </c>
      <c r="C1" t="s">
        <v>2</v>
      </c>
      <c r="D1" t="s">
        <v>81</v>
      </c>
    </row>
    <row r="2" spans="1:4" ht="86.4" x14ac:dyDescent="0.3">
      <c r="A2" s="1" t="s">
        <v>9</v>
      </c>
      <c r="B2" t="s">
        <v>3</v>
      </c>
      <c r="C2">
        <v>1</v>
      </c>
      <c r="D2" t="s">
        <v>82</v>
      </c>
    </row>
    <row r="3" spans="1:4" ht="57.6" x14ac:dyDescent="0.3">
      <c r="A3" s="1" t="s">
        <v>10</v>
      </c>
      <c r="B3" t="s">
        <v>3</v>
      </c>
      <c r="C3">
        <v>1</v>
      </c>
      <c r="D3" t="s">
        <v>82</v>
      </c>
    </row>
    <row r="4" spans="1:4" ht="57.6" x14ac:dyDescent="0.3">
      <c r="A4" s="1" t="s">
        <v>11</v>
      </c>
      <c r="B4" t="s">
        <v>3</v>
      </c>
      <c r="C4">
        <v>1</v>
      </c>
      <c r="D4" t="s">
        <v>82</v>
      </c>
    </row>
    <row r="5" spans="1:4" ht="244.8" x14ac:dyDescent="0.3">
      <c r="A5" s="1" t="s">
        <v>12</v>
      </c>
      <c r="B5" t="s">
        <v>3</v>
      </c>
      <c r="C5">
        <v>1</v>
      </c>
      <c r="D5" t="s">
        <v>83</v>
      </c>
    </row>
    <row r="6" spans="1:4" ht="158.4" x14ac:dyDescent="0.3">
      <c r="A6" s="1" t="s">
        <v>13</v>
      </c>
      <c r="B6" t="s">
        <v>3</v>
      </c>
      <c r="C6">
        <v>1</v>
      </c>
      <c r="D6" t="s">
        <v>83</v>
      </c>
    </row>
    <row r="7" spans="1:4" ht="57.6" x14ac:dyDescent="0.3">
      <c r="A7" s="1" t="s">
        <v>14</v>
      </c>
      <c r="B7" t="s">
        <v>3</v>
      </c>
      <c r="C7">
        <v>1</v>
      </c>
      <c r="D7" t="s">
        <v>82</v>
      </c>
    </row>
    <row r="8" spans="1:4" ht="115.2" x14ac:dyDescent="0.3">
      <c r="A8" s="1" t="s">
        <v>15</v>
      </c>
      <c r="B8" t="s">
        <v>3</v>
      </c>
      <c r="C8">
        <v>1</v>
      </c>
      <c r="D8" t="s">
        <v>82</v>
      </c>
    </row>
    <row r="9" spans="1:4" ht="72" x14ac:dyDescent="0.3">
      <c r="A9" s="1" t="s">
        <v>16</v>
      </c>
      <c r="B9" t="s">
        <v>3</v>
      </c>
      <c r="C9">
        <v>1</v>
      </c>
      <c r="D9" t="s">
        <v>83</v>
      </c>
    </row>
    <row r="10" spans="1:4" ht="230.4" x14ac:dyDescent="0.3">
      <c r="A10" s="1" t="s">
        <v>17</v>
      </c>
      <c r="B10" t="s">
        <v>3</v>
      </c>
      <c r="C10">
        <v>1</v>
      </c>
      <c r="D10" t="s">
        <v>83</v>
      </c>
    </row>
    <row r="11" spans="1:4" ht="115.2" x14ac:dyDescent="0.3">
      <c r="A11" s="1" t="s">
        <v>19</v>
      </c>
      <c r="B11" t="s">
        <v>3</v>
      </c>
      <c r="C11">
        <v>1</v>
      </c>
      <c r="D11" t="s">
        <v>82</v>
      </c>
    </row>
    <row r="12" spans="1:4" ht="57.6" x14ac:dyDescent="0.3">
      <c r="A12" s="1" t="s">
        <v>20</v>
      </c>
      <c r="B12" t="s">
        <v>3</v>
      </c>
      <c r="C12">
        <v>1</v>
      </c>
      <c r="D12" t="s">
        <v>82</v>
      </c>
    </row>
    <row r="13" spans="1:4" ht="129.6" x14ac:dyDescent="0.3">
      <c r="A13" s="1" t="s">
        <v>21</v>
      </c>
      <c r="B13" t="s">
        <v>3</v>
      </c>
      <c r="C13">
        <v>1</v>
      </c>
      <c r="D13" t="s">
        <v>83</v>
      </c>
    </row>
    <row r="14" spans="1:4" ht="302.39999999999998" x14ac:dyDescent="0.3">
      <c r="A14" s="1" t="s">
        <v>24</v>
      </c>
      <c r="B14" t="s">
        <v>3</v>
      </c>
      <c r="C14">
        <v>1</v>
      </c>
      <c r="D14" t="s">
        <v>83</v>
      </c>
    </row>
    <row r="15" spans="1:4" ht="57.6" x14ac:dyDescent="0.3">
      <c r="A15" s="1" t="s">
        <v>25</v>
      </c>
      <c r="B15" t="s">
        <v>3</v>
      </c>
      <c r="C15">
        <v>1</v>
      </c>
      <c r="D15" t="s">
        <v>82</v>
      </c>
    </row>
    <row r="16" spans="1:4" ht="129.6" x14ac:dyDescent="0.3">
      <c r="A16" s="1" t="s">
        <v>26</v>
      </c>
      <c r="B16" t="s">
        <v>3</v>
      </c>
      <c r="C16">
        <v>1</v>
      </c>
      <c r="D16" t="s">
        <v>82</v>
      </c>
    </row>
    <row r="17" spans="1:4" ht="158.4" x14ac:dyDescent="0.3">
      <c r="A17" s="1" t="s">
        <v>27</v>
      </c>
      <c r="B17" t="s">
        <v>3</v>
      </c>
      <c r="C17">
        <v>1</v>
      </c>
      <c r="D17" t="s">
        <v>83</v>
      </c>
    </row>
    <row r="18" spans="1:4" ht="187.2" x14ac:dyDescent="0.3">
      <c r="A18" s="1" t="s">
        <v>29</v>
      </c>
      <c r="B18" t="s">
        <v>3</v>
      </c>
      <c r="C18">
        <v>1</v>
      </c>
      <c r="D18" t="s">
        <v>82</v>
      </c>
    </row>
    <row r="19" spans="1:4" x14ac:dyDescent="0.3">
      <c r="A19" t="s">
        <v>30</v>
      </c>
      <c r="B19" t="s">
        <v>3</v>
      </c>
      <c r="C19">
        <v>1</v>
      </c>
      <c r="D19" t="s">
        <v>82</v>
      </c>
    </row>
    <row r="20" spans="1:4" ht="187.2" x14ac:dyDescent="0.3">
      <c r="A20" s="1" t="s">
        <v>31</v>
      </c>
      <c r="B20" t="s">
        <v>3</v>
      </c>
      <c r="C20">
        <v>1</v>
      </c>
      <c r="D20" t="s">
        <v>82</v>
      </c>
    </row>
    <row r="21" spans="1:4" ht="244.8" x14ac:dyDescent="0.3">
      <c r="A21" s="1" t="s">
        <v>32</v>
      </c>
      <c r="B21" t="s">
        <v>3</v>
      </c>
      <c r="C21">
        <v>1</v>
      </c>
      <c r="D21" t="s">
        <v>83</v>
      </c>
    </row>
    <row r="22" spans="1:4" ht="201.6" x14ac:dyDescent="0.3">
      <c r="A22" s="1" t="s">
        <v>18</v>
      </c>
      <c r="B22" t="s">
        <v>4</v>
      </c>
      <c r="C22">
        <v>1</v>
      </c>
      <c r="D22" t="s">
        <v>83</v>
      </c>
    </row>
    <row r="23" spans="1:4" ht="187.2" x14ac:dyDescent="0.3">
      <c r="A23" s="1" t="s">
        <v>22</v>
      </c>
      <c r="B23" t="s">
        <v>4</v>
      </c>
      <c r="C23">
        <v>1</v>
      </c>
      <c r="D23" t="s">
        <v>82</v>
      </c>
    </row>
    <row r="24" spans="1:4" ht="230.4" x14ac:dyDescent="0.3">
      <c r="A24" s="1" t="s">
        <v>23</v>
      </c>
      <c r="B24" t="s">
        <v>4</v>
      </c>
      <c r="C24">
        <v>1</v>
      </c>
      <c r="D24" t="s">
        <v>82</v>
      </c>
    </row>
    <row r="25" spans="1:4" ht="172.8" x14ac:dyDescent="0.3">
      <c r="A25" s="1" t="s">
        <v>28</v>
      </c>
      <c r="B25" t="s">
        <v>4</v>
      </c>
      <c r="C25">
        <v>1</v>
      </c>
      <c r="D25" t="s">
        <v>82</v>
      </c>
    </row>
    <row r="26" spans="1:4" ht="259.2" x14ac:dyDescent="0.3">
      <c r="A26" s="2" t="s">
        <v>66</v>
      </c>
      <c r="B26" t="s">
        <v>4</v>
      </c>
      <c r="C26">
        <v>1</v>
      </c>
      <c r="D26" t="s">
        <v>82</v>
      </c>
    </row>
    <row r="27" spans="1:4" ht="409.6" x14ac:dyDescent="0.3">
      <c r="A27" s="2" t="s">
        <v>67</v>
      </c>
      <c r="B27" t="s">
        <v>4</v>
      </c>
      <c r="C27">
        <v>1</v>
      </c>
      <c r="D27" t="s">
        <v>83</v>
      </c>
    </row>
    <row r="28" spans="1:4" ht="409.6" x14ac:dyDescent="0.3">
      <c r="A28" s="2" t="s">
        <v>68</v>
      </c>
      <c r="B28" t="s">
        <v>4</v>
      </c>
      <c r="C28">
        <v>1</v>
      </c>
      <c r="D28" t="s">
        <v>82</v>
      </c>
    </row>
    <row r="29" spans="1:4" ht="172.8" x14ac:dyDescent="0.3">
      <c r="A29" s="2" t="s">
        <v>69</v>
      </c>
      <c r="B29" t="s">
        <v>4</v>
      </c>
      <c r="C29">
        <v>1</v>
      </c>
      <c r="D29" t="s">
        <v>82</v>
      </c>
    </row>
    <row r="30" spans="1:4" ht="72" x14ac:dyDescent="0.3">
      <c r="A30" s="2" t="s">
        <v>71</v>
      </c>
      <c r="B30" t="s">
        <v>4</v>
      </c>
      <c r="C30">
        <v>1</v>
      </c>
      <c r="D30" t="s">
        <v>82</v>
      </c>
    </row>
    <row r="31" spans="1:4" ht="115.2" x14ac:dyDescent="0.3">
      <c r="A31" s="2" t="s">
        <v>74</v>
      </c>
      <c r="B31" t="s">
        <v>4</v>
      </c>
      <c r="C31">
        <v>1</v>
      </c>
      <c r="D31" t="s">
        <v>82</v>
      </c>
    </row>
    <row r="32" spans="1:4" ht="129.6" x14ac:dyDescent="0.3">
      <c r="A32" s="2" t="s">
        <v>76</v>
      </c>
      <c r="B32" t="s">
        <v>4</v>
      </c>
      <c r="C32">
        <v>1</v>
      </c>
      <c r="D32" t="s">
        <v>82</v>
      </c>
    </row>
    <row r="33" spans="1:4" ht="201.6" x14ac:dyDescent="0.3">
      <c r="A33" s="2" t="s">
        <v>77</v>
      </c>
      <c r="B33" t="s">
        <v>4</v>
      </c>
      <c r="C33">
        <v>1</v>
      </c>
      <c r="D33" t="s">
        <v>82</v>
      </c>
    </row>
    <row r="34" spans="1:4" ht="273.60000000000002" x14ac:dyDescent="0.3">
      <c r="A34" s="2" t="s">
        <v>78</v>
      </c>
      <c r="B34" t="s">
        <v>4</v>
      </c>
      <c r="C34">
        <v>1</v>
      </c>
      <c r="D34" t="s">
        <v>82</v>
      </c>
    </row>
    <row r="35" spans="1:4" ht="28.8" x14ac:dyDescent="0.3">
      <c r="A35" s="3" t="s">
        <v>85</v>
      </c>
      <c r="B35" t="s">
        <v>4</v>
      </c>
      <c r="C35">
        <v>1</v>
      </c>
      <c r="D35" s="5" t="s">
        <v>83</v>
      </c>
    </row>
    <row r="36" spans="1:4" ht="28.8" x14ac:dyDescent="0.3">
      <c r="A36" s="3" t="s">
        <v>86</v>
      </c>
      <c r="B36" t="s">
        <v>4</v>
      </c>
      <c r="C36">
        <v>1</v>
      </c>
      <c r="D36" s="5" t="s">
        <v>83</v>
      </c>
    </row>
    <row r="37" spans="1:4" ht="28.8" x14ac:dyDescent="0.3">
      <c r="A37" s="3" t="s">
        <v>87</v>
      </c>
      <c r="B37" t="s">
        <v>4</v>
      </c>
      <c r="C37">
        <v>1</v>
      </c>
      <c r="D37" s="5" t="s">
        <v>83</v>
      </c>
    </row>
    <row r="38" spans="1:4" ht="28.8" x14ac:dyDescent="0.3">
      <c r="A38" s="3" t="s">
        <v>88</v>
      </c>
      <c r="B38" t="s">
        <v>4</v>
      </c>
      <c r="C38">
        <v>1</v>
      </c>
      <c r="D38" s="5" t="s">
        <v>83</v>
      </c>
    </row>
    <row r="39" spans="1:4" ht="28.8" x14ac:dyDescent="0.3">
      <c r="A39" s="3" t="s">
        <v>89</v>
      </c>
      <c r="B39" t="s">
        <v>4</v>
      </c>
      <c r="C39">
        <v>1</v>
      </c>
      <c r="D39" s="5" t="s">
        <v>83</v>
      </c>
    </row>
    <row r="40" spans="1:4" ht="28.8" x14ac:dyDescent="0.3">
      <c r="A40" s="3" t="s">
        <v>90</v>
      </c>
      <c r="B40" t="s">
        <v>4</v>
      </c>
      <c r="C40">
        <v>1</v>
      </c>
      <c r="D40" s="5" t="s">
        <v>83</v>
      </c>
    </row>
    <row r="41" spans="1:4" ht="28.8" x14ac:dyDescent="0.3">
      <c r="A41" s="3" t="s">
        <v>91</v>
      </c>
      <c r="B41" t="s">
        <v>4</v>
      </c>
      <c r="C41">
        <v>1</v>
      </c>
      <c r="D41" s="5" t="s">
        <v>83</v>
      </c>
    </row>
    <row r="42" spans="1:4" ht="28.8" x14ac:dyDescent="0.3">
      <c r="A42" s="3" t="s">
        <v>92</v>
      </c>
      <c r="B42" t="s">
        <v>4</v>
      </c>
      <c r="C42">
        <v>1</v>
      </c>
      <c r="D42" s="5" t="s">
        <v>83</v>
      </c>
    </row>
    <row r="43" spans="1:4" ht="43.2" x14ac:dyDescent="0.3">
      <c r="A43" s="3" t="s">
        <v>93</v>
      </c>
      <c r="B43" t="s">
        <v>4</v>
      </c>
      <c r="C43">
        <v>1</v>
      </c>
      <c r="D43" s="5" t="s">
        <v>83</v>
      </c>
    </row>
    <row r="44" spans="1:4" ht="28.8" x14ac:dyDescent="0.3">
      <c r="A44" s="4" t="s">
        <v>94</v>
      </c>
      <c r="B44" t="s">
        <v>4</v>
      </c>
      <c r="C44">
        <v>1</v>
      </c>
      <c r="D44" s="6" t="s">
        <v>82</v>
      </c>
    </row>
    <row r="45" spans="1:4" ht="28.8" x14ac:dyDescent="0.3">
      <c r="A45" s="4" t="s">
        <v>95</v>
      </c>
      <c r="B45" t="s">
        <v>4</v>
      </c>
      <c r="C45">
        <v>1</v>
      </c>
      <c r="D45" s="6" t="s">
        <v>82</v>
      </c>
    </row>
    <row r="46" spans="1:4" ht="28.8" x14ac:dyDescent="0.3">
      <c r="A46" s="4" t="s">
        <v>96</v>
      </c>
      <c r="B46" t="s">
        <v>4</v>
      </c>
      <c r="C46">
        <v>1</v>
      </c>
      <c r="D46" s="6" t="s">
        <v>82</v>
      </c>
    </row>
    <row r="47" spans="1:4" ht="28.8" x14ac:dyDescent="0.3">
      <c r="A47" s="4" t="s">
        <v>97</v>
      </c>
      <c r="B47" t="s">
        <v>4</v>
      </c>
      <c r="C47">
        <v>1</v>
      </c>
      <c r="D47" s="6" t="s">
        <v>82</v>
      </c>
    </row>
    <row r="48" spans="1:4" ht="28.8" x14ac:dyDescent="0.3">
      <c r="A48" s="4" t="s">
        <v>98</v>
      </c>
      <c r="B48" t="s">
        <v>4</v>
      </c>
      <c r="C48">
        <v>1</v>
      </c>
      <c r="D48" s="6" t="s">
        <v>82</v>
      </c>
    </row>
    <row r="49" spans="1:4" ht="28.8" x14ac:dyDescent="0.3">
      <c r="A49" s="4" t="s">
        <v>99</v>
      </c>
      <c r="B49" t="s">
        <v>4</v>
      </c>
      <c r="C49">
        <v>1</v>
      </c>
      <c r="D49" s="6" t="s">
        <v>82</v>
      </c>
    </row>
    <row r="50" spans="1:4" ht="28.8" x14ac:dyDescent="0.3">
      <c r="A50" s="4" t="s">
        <v>100</v>
      </c>
      <c r="B50" t="s">
        <v>4</v>
      </c>
      <c r="C50">
        <v>1</v>
      </c>
      <c r="D50" s="6" t="s">
        <v>82</v>
      </c>
    </row>
    <row r="51" spans="1:4" ht="28.8" x14ac:dyDescent="0.3">
      <c r="A51" s="4" t="s">
        <v>101</v>
      </c>
      <c r="B51" t="s">
        <v>4</v>
      </c>
      <c r="C51">
        <v>1</v>
      </c>
      <c r="D51" s="6" t="s">
        <v>82</v>
      </c>
    </row>
    <row r="52" spans="1:4" ht="187.2" x14ac:dyDescent="0.3">
      <c r="A52" s="1" t="s">
        <v>59</v>
      </c>
      <c r="B52" t="s">
        <v>5</v>
      </c>
      <c r="C52">
        <v>0</v>
      </c>
      <c r="D52" t="s">
        <v>83</v>
      </c>
    </row>
    <row r="53" spans="1:4" ht="172.8" x14ac:dyDescent="0.3">
      <c r="A53" s="1" t="s">
        <v>58</v>
      </c>
      <c r="B53" t="s">
        <v>5</v>
      </c>
      <c r="C53">
        <v>0</v>
      </c>
      <c r="D53" t="s">
        <v>83</v>
      </c>
    </row>
    <row r="54" spans="1:4" x14ac:dyDescent="0.3">
      <c r="A54" t="s">
        <v>57</v>
      </c>
      <c r="B54" t="s">
        <v>5</v>
      </c>
      <c r="C54">
        <v>0</v>
      </c>
      <c r="D54" t="s">
        <v>82</v>
      </c>
    </row>
    <row r="55" spans="1:4" ht="43.2" x14ac:dyDescent="0.3">
      <c r="A55" s="1" t="s">
        <v>56</v>
      </c>
      <c r="B55" t="s">
        <v>5</v>
      </c>
      <c r="C55">
        <v>0</v>
      </c>
      <c r="D55" t="s">
        <v>82</v>
      </c>
    </row>
    <row r="56" spans="1:4" ht="72" x14ac:dyDescent="0.3">
      <c r="A56" s="1" t="s">
        <v>55</v>
      </c>
      <c r="B56" t="s">
        <v>5</v>
      </c>
      <c r="C56">
        <v>0</v>
      </c>
      <c r="D56" t="s">
        <v>83</v>
      </c>
    </row>
    <row r="57" spans="1:4" ht="28.8" x14ac:dyDescent="0.3">
      <c r="A57" s="1" t="s">
        <v>54</v>
      </c>
      <c r="B57" t="s">
        <v>5</v>
      </c>
      <c r="C57">
        <v>0</v>
      </c>
      <c r="D57" t="s">
        <v>83</v>
      </c>
    </row>
    <row r="58" spans="1:4" x14ac:dyDescent="0.3">
      <c r="A58" t="s">
        <v>53</v>
      </c>
      <c r="B58" t="s">
        <v>5</v>
      </c>
      <c r="C58">
        <v>0</v>
      </c>
      <c r="D58" t="s">
        <v>83</v>
      </c>
    </row>
    <row r="59" spans="1:4" ht="129.6" x14ac:dyDescent="0.3">
      <c r="A59" s="1" t="s">
        <v>52</v>
      </c>
      <c r="B59" t="s">
        <v>5</v>
      </c>
      <c r="C59">
        <v>0</v>
      </c>
      <c r="D59" t="s">
        <v>82</v>
      </c>
    </row>
    <row r="60" spans="1:4" ht="43.2" x14ac:dyDescent="0.3">
      <c r="A60" s="1" t="s">
        <v>51</v>
      </c>
      <c r="B60" t="s">
        <v>5</v>
      </c>
      <c r="C60">
        <v>0</v>
      </c>
      <c r="D60" t="s">
        <v>83</v>
      </c>
    </row>
    <row r="61" spans="1:4" ht="43.2" x14ac:dyDescent="0.3">
      <c r="A61" s="1" t="s">
        <v>50</v>
      </c>
      <c r="B61" t="s">
        <v>5</v>
      </c>
      <c r="C61">
        <v>0</v>
      </c>
      <c r="D61" t="s">
        <v>83</v>
      </c>
    </row>
    <row r="62" spans="1:4" ht="43.2" x14ac:dyDescent="0.3">
      <c r="A62" s="1" t="s">
        <v>49</v>
      </c>
      <c r="B62" t="s">
        <v>5</v>
      </c>
      <c r="C62">
        <v>0</v>
      </c>
      <c r="D62" t="s">
        <v>83</v>
      </c>
    </row>
    <row r="63" spans="1:4" ht="115.2" x14ac:dyDescent="0.3">
      <c r="A63" s="1" t="s">
        <v>48</v>
      </c>
      <c r="B63" t="s">
        <v>5</v>
      </c>
      <c r="C63">
        <v>0</v>
      </c>
      <c r="D63" t="s">
        <v>83</v>
      </c>
    </row>
    <row r="64" spans="1:4" ht="28.8" x14ac:dyDescent="0.3">
      <c r="A64" s="1" t="s">
        <v>47</v>
      </c>
      <c r="B64" t="s">
        <v>5</v>
      </c>
      <c r="C64">
        <v>0</v>
      </c>
      <c r="D64" t="s">
        <v>83</v>
      </c>
    </row>
    <row r="65" spans="1:4" ht="129.6" x14ac:dyDescent="0.3">
      <c r="A65" s="1" t="s">
        <v>46</v>
      </c>
      <c r="B65" t="s">
        <v>5</v>
      </c>
      <c r="C65">
        <v>0</v>
      </c>
      <c r="D65" t="s">
        <v>83</v>
      </c>
    </row>
    <row r="66" spans="1:4" ht="100.8" x14ac:dyDescent="0.3">
      <c r="A66" s="1" t="s">
        <v>45</v>
      </c>
      <c r="B66" t="s">
        <v>5</v>
      </c>
      <c r="C66">
        <v>0</v>
      </c>
      <c r="D66" t="s">
        <v>83</v>
      </c>
    </row>
    <row r="67" spans="1:4" ht="57.6" x14ac:dyDescent="0.3">
      <c r="A67" s="1" t="s">
        <v>44</v>
      </c>
      <c r="B67" t="s">
        <v>5</v>
      </c>
      <c r="C67">
        <v>0</v>
      </c>
      <c r="D67" t="s">
        <v>83</v>
      </c>
    </row>
    <row r="68" spans="1:4" ht="158.4" x14ac:dyDescent="0.3">
      <c r="A68" s="1" t="s">
        <v>43</v>
      </c>
      <c r="B68" t="s">
        <v>5</v>
      </c>
      <c r="C68">
        <v>0</v>
      </c>
      <c r="D68" t="s">
        <v>82</v>
      </c>
    </row>
    <row r="69" spans="1:4" ht="43.2" x14ac:dyDescent="0.3">
      <c r="A69" s="1" t="s">
        <v>42</v>
      </c>
      <c r="B69" t="s">
        <v>5</v>
      </c>
      <c r="C69">
        <v>0</v>
      </c>
      <c r="D69" t="s">
        <v>83</v>
      </c>
    </row>
    <row r="70" spans="1:4" ht="129.6" x14ac:dyDescent="0.3">
      <c r="A70" s="1" t="s">
        <v>41</v>
      </c>
      <c r="B70" t="s">
        <v>5</v>
      </c>
      <c r="C70">
        <v>0</v>
      </c>
      <c r="D70" t="s">
        <v>82</v>
      </c>
    </row>
    <row r="71" spans="1:4" x14ac:dyDescent="0.3">
      <c r="A71" t="s">
        <v>40</v>
      </c>
      <c r="B71" t="s">
        <v>5</v>
      </c>
      <c r="C71">
        <v>0</v>
      </c>
      <c r="D71" t="s">
        <v>83</v>
      </c>
    </row>
    <row r="72" spans="1:4" ht="72" x14ac:dyDescent="0.3">
      <c r="A72" s="1" t="s">
        <v>39</v>
      </c>
      <c r="B72" t="s">
        <v>5</v>
      </c>
      <c r="C72">
        <v>0</v>
      </c>
      <c r="D72" t="s">
        <v>83</v>
      </c>
    </row>
    <row r="73" spans="1:4" ht="43.2" x14ac:dyDescent="0.3">
      <c r="A73" s="1" t="s">
        <v>38</v>
      </c>
      <c r="B73" t="s">
        <v>5</v>
      </c>
      <c r="C73">
        <v>0</v>
      </c>
      <c r="D73" t="s">
        <v>83</v>
      </c>
    </row>
    <row r="74" spans="1:4" ht="86.4" x14ac:dyDescent="0.3">
      <c r="A74" s="1" t="s">
        <v>37</v>
      </c>
      <c r="B74" t="s">
        <v>5</v>
      </c>
      <c r="C74">
        <v>0</v>
      </c>
      <c r="D74" t="s">
        <v>83</v>
      </c>
    </row>
    <row r="75" spans="1:4" x14ac:dyDescent="0.3">
      <c r="A75" t="s">
        <v>36</v>
      </c>
      <c r="B75" t="s">
        <v>5</v>
      </c>
      <c r="C75">
        <v>0</v>
      </c>
      <c r="D75" t="s">
        <v>82</v>
      </c>
    </row>
    <row r="76" spans="1:4" x14ac:dyDescent="0.3">
      <c r="A76" t="s">
        <v>35</v>
      </c>
      <c r="B76" t="s">
        <v>5</v>
      </c>
      <c r="C76">
        <v>0</v>
      </c>
      <c r="D76" t="s">
        <v>82</v>
      </c>
    </row>
    <row r="77" spans="1:4" x14ac:dyDescent="0.3">
      <c r="A77" t="s">
        <v>60</v>
      </c>
      <c r="B77" t="s">
        <v>5</v>
      </c>
      <c r="C77">
        <v>0</v>
      </c>
      <c r="D77" t="s">
        <v>82</v>
      </c>
    </row>
    <row r="78" spans="1:4" x14ac:dyDescent="0.3">
      <c r="A78" t="s">
        <v>61</v>
      </c>
      <c r="B78" t="s">
        <v>5</v>
      </c>
      <c r="C78">
        <v>0</v>
      </c>
      <c r="D78" t="s">
        <v>83</v>
      </c>
    </row>
    <row r="79" spans="1:4" ht="57.6" x14ac:dyDescent="0.3">
      <c r="A79" s="1" t="s">
        <v>62</v>
      </c>
      <c r="B79" t="s">
        <v>5</v>
      </c>
      <c r="C79">
        <v>0</v>
      </c>
      <c r="D79" t="s">
        <v>82</v>
      </c>
    </row>
    <row r="80" spans="1:4" ht="57.6" x14ac:dyDescent="0.3">
      <c r="A80" s="1" t="s">
        <v>63</v>
      </c>
      <c r="B80" t="s">
        <v>5</v>
      </c>
      <c r="C80">
        <v>0</v>
      </c>
      <c r="D80" t="s">
        <v>83</v>
      </c>
    </row>
    <row r="81" spans="1:4" ht="187.2" x14ac:dyDescent="0.3">
      <c r="A81" s="1" t="s">
        <v>59</v>
      </c>
      <c r="B81" t="s">
        <v>5</v>
      </c>
      <c r="C81">
        <v>0</v>
      </c>
      <c r="D81" t="s">
        <v>83</v>
      </c>
    </row>
    <row r="82" spans="1:4" ht="72" x14ac:dyDescent="0.3">
      <c r="A82" s="2" t="s">
        <v>70</v>
      </c>
      <c r="B82" t="s">
        <v>6</v>
      </c>
      <c r="C82">
        <v>0</v>
      </c>
      <c r="D82" t="s">
        <v>83</v>
      </c>
    </row>
    <row r="83" spans="1:4" ht="409.6" x14ac:dyDescent="0.3">
      <c r="A83" s="2" t="s">
        <v>72</v>
      </c>
      <c r="B83" t="s">
        <v>6</v>
      </c>
      <c r="C83">
        <v>0</v>
      </c>
      <c r="D83" t="s">
        <v>83</v>
      </c>
    </row>
    <row r="84" spans="1:4" ht="409.6" x14ac:dyDescent="0.3">
      <c r="A84" s="2" t="s">
        <v>73</v>
      </c>
      <c r="B84" t="s">
        <v>6</v>
      </c>
      <c r="C84">
        <v>0</v>
      </c>
      <c r="D84" t="s">
        <v>83</v>
      </c>
    </row>
    <row r="85" spans="1:4" ht="86.4" x14ac:dyDescent="0.3">
      <c r="A85" s="2" t="s">
        <v>75</v>
      </c>
      <c r="B85" t="s">
        <v>6</v>
      </c>
      <c r="C85">
        <v>0</v>
      </c>
      <c r="D85" t="s">
        <v>83</v>
      </c>
    </row>
    <row r="86" spans="1:4" ht="409.6" x14ac:dyDescent="0.3">
      <c r="A86" s="2" t="s">
        <v>102</v>
      </c>
      <c r="B86" t="s">
        <v>6</v>
      </c>
      <c r="C86">
        <v>0</v>
      </c>
      <c r="D86" t="s">
        <v>83</v>
      </c>
    </row>
    <row r="87" spans="1:4" ht="409.6" x14ac:dyDescent="0.3">
      <c r="A87" s="2" t="s">
        <v>103</v>
      </c>
      <c r="B87" t="s">
        <v>6</v>
      </c>
      <c r="C87">
        <v>0</v>
      </c>
      <c r="D87" t="s">
        <v>83</v>
      </c>
    </row>
    <row r="88" spans="1:4" ht="43.2" x14ac:dyDescent="0.3">
      <c r="A88" s="2" t="s">
        <v>104</v>
      </c>
      <c r="B88" t="s">
        <v>6</v>
      </c>
      <c r="C88">
        <v>0</v>
      </c>
      <c r="D88" t="s">
        <v>83</v>
      </c>
    </row>
    <row r="89" spans="1:4" ht="360" x14ac:dyDescent="0.3">
      <c r="A89" s="2" t="s">
        <v>105</v>
      </c>
      <c r="B89" t="s">
        <v>6</v>
      </c>
      <c r="C89">
        <v>0</v>
      </c>
      <c r="D89" t="s">
        <v>83</v>
      </c>
    </row>
    <row r="90" spans="1:4" ht="115.2" x14ac:dyDescent="0.3">
      <c r="A90" s="2" t="s">
        <v>106</v>
      </c>
      <c r="B90" t="s">
        <v>6</v>
      </c>
      <c r="C90">
        <v>0</v>
      </c>
      <c r="D90" t="s">
        <v>83</v>
      </c>
    </row>
    <row r="91" spans="1:4" ht="43.2" x14ac:dyDescent="0.3">
      <c r="A91" s="2" t="s">
        <v>107</v>
      </c>
      <c r="B91" t="s">
        <v>6</v>
      </c>
      <c r="C91">
        <v>0</v>
      </c>
      <c r="D91" t="s">
        <v>83</v>
      </c>
    </row>
    <row r="92" spans="1:4" ht="72" x14ac:dyDescent="0.3">
      <c r="A92" s="2" t="s">
        <v>108</v>
      </c>
      <c r="B92" t="s">
        <v>6</v>
      </c>
      <c r="C92">
        <v>0</v>
      </c>
      <c r="D92" t="s">
        <v>83</v>
      </c>
    </row>
    <row r="93" spans="1:4" ht="72" x14ac:dyDescent="0.3">
      <c r="A93" s="2" t="s">
        <v>109</v>
      </c>
      <c r="B93" t="s">
        <v>6</v>
      </c>
      <c r="C93">
        <v>0</v>
      </c>
      <c r="D93" t="s">
        <v>83</v>
      </c>
    </row>
    <row r="94" spans="1:4" ht="43.2" x14ac:dyDescent="0.3">
      <c r="A94" s="2" t="s">
        <v>110</v>
      </c>
      <c r="B94" t="s">
        <v>6</v>
      </c>
      <c r="C94">
        <v>0</v>
      </c>
      <c r="D94" t="s">
        <v>83</v>
      </c>
    </row>
    <row r="95" spans="1:4" ht="43.2" x14ac:dyDescent="0.3">
      <c r="A95" s="2" t="s">
        <v>111</v>
      </c>
      <c r="B95" t="s">
        <v>6</v>
      </c>
      <c r="C95">
        <v>0</v>
      </c>
      <c r="D95" t="s">
        <v>83</v>
      </c>
    </row>
    <row r="96" spans="1:4" ht="409.6" x14ac:dyDescent="0.3">
      <c r="A96" s="2" t="s">
        <v>112</v>
      </c>
      <c r="B96" t="s">
        <v>6</v>
      </c>
      <c r="C96">
        <v>0</v>
      </c>
      <c r="D96" t="s">
        <v>83</v>
      </c>
    </row>
    <row r="97" spans="1:4" ht="86.4" x14ac:dyDescent="0.3">
      <c r="A97" s="2" t="s">
        <v>113</v>
      </c>
      <c r="B97" t="s">
        <v>7</v>
      </c>
      <c r="C97">
        <v>0</v>
      </c>
      <c r="D97" t="s">
        <v>83</v>
      </c>
    </row>
    <row r="98" spans="1:4" ht="409.6" x14ac:dyDescent="0.3">
      <c r="A98" s="2" t="s">
        <v>114</v>
      </c>
      <c r="B98" t="s">
        <v>7</v>
      </c>
      <c r="C98">
        <v>0</v>
      </c>
      <c r="D98" t="s">
        <v>83</v>
      </c>
    </row>
    <row r="99" spans="1:4" ht="360" x14ac:dyDescent="0.3">
      <c r="A99" s="2" t="s">
        <v>115</v>
      </c>
      <c r="B99" t="s">
        <v>7</v>
      </c>
      <c r="C99">
        <v>0</v>
      </c>
      <c r="D99" t="s">
        <v>83</v>
      </c>
    </row>
    <row r="100" spans="1:4" ht="409.6" x14ac:dyDescent="0.3">
      <c r="A100" s="2" t="s">
        <v>116</v>
      </c>
      <c r="B100" t="s">
        <v>7</v>
      </c>
      <c r="C100">
        <v>0</v>
      </c>
      <c r="D100" t="s">
        <v>83</v>
      </c>
    </row>
    <row r="101" spans="1:4" ht="244.8" x14ac:dyDescent="0.3">
      <c r="A101" s="2" t="s">
        <v>117</v>
      </c>
      <c r="B101" t="s">
        <v>7</v>
      </c>
      <c r="C101">
        <v>0</v>
      </c>
      <c r="D101" t="s">
        <v>83</v>
      </c>
    </row>
    <row r="102" spans="1:4" ht="409.6" x14ac:dyDescent="0.3">
      <c r="A102" s="2" t="s">
        <v>118</v>
      </c>
      <c r="B102" t="s">
        <v>7</v>
      </c>
      <c r="C102">
        <v>0</v>
      </c>
      <c r="D102" t="s">
        <v>82</v>
      </c>
    </row>
    <row r="103" spans="1:4" ht="409.6" x14ac:dyDescent="0.3">
      <c r="A103" s="2" t="s">
        <v>119</v>
      </c>
      <c r="B103" t="s">
        <v>7</v>
      </c>
      <c r="C103">
        <v>0</v>
      </c>
      <c r="D103" t="s">
        <v>83</v>
      </c>
    </row>
    <row r="104" spans="1:4" ht="230.4" x14ac:dyDescent="0.3">
      <c r="A104" s="2" t="s">
        <v>120</v>
      </c>
      <c r="B104" t="s">
        <v>7</v>
      </c>
      <c r="C104">
        <v>0</v>
      </c>
      <c r="D104" t="s">
        <v>83</v>
      </c>
    </row>
    <row r="105" spans="1:4" ht="409.6" x14ac:dyDescent="0.3">
      <c r="A105" s="2" t="s">
        <v>123</v>
      </c>
      <c r="B105" t="s">
        <v>7</v>
      </c>
      <c r="C105">
        <v>0</v>
      </c>
      <c r="D105" t="s">
        <v>82</v>
      </c>
    </row>
    <row r="106" spans="1:4" ht="28.8" x14ac:dyDescent="0.3">
      <c r="A106" s="12" t="s">
        <v>124</v>
      </c>
      <c r="B106" t="s">
        <v>7</v>
      </c>
      <c r="C106">
        <v>0</v>
      </c>
      <c r="D106" s="5" t="s">
        <v>83</v>
      </c>
    </row>
    <row r="107" spans="1:4" ht="28.8" x14ac:dyDescent="0.3">
      <c r="A107" s="13" t="s">
        <v>125</v>
      </c>
      <c r="B107" t="s">
        <v>7</v>
      </c>
      <c r="C107">
        <v>0</v>
      </c>
      <c r="D107" s="5" t="s">
        <v>83</v>
      </c>
    </row>
    <row r="108" spans="1:4" ht="28.8" x14ac:dyDescent="0.3">
      <c r="A108" s="13" t="s">
        <v>126</v>
      </c>
      <c r="B108" t="s">
        <v>7</v>
      </c>
      <c r="C108">
        <v>0</v>
      </c>
      <c r="D108" s="5" t="s">
        <v>83</v>
      </c>
    </row>
    <row r="109" spans="1:4" ht="28.8" x14ac:dyDescent="0.3">
      <c r="A109" s="14" t="s">
        <v>127</v>
      </c>
      <c r="B109" t="s">
        <v>7</v>
      </c>
      <c r="C109">
        <v>0</v>
      </c>
      <c r="D109" s="7" t="s">
        <v>83</v>
      </c>
    </row>
    <row r="110" spans="1:4" ht="28.8" x14ac:dyDescent="0.3">
      <c r="A110" s="14" t="s">
        <v>128</v>
      </c>
      <c r="B110" t="s">
        <v>7</v>
      </c>
      <c r="C110">
        <v>0</v>
      </c>
      <c r="D110" s="7" t="s">
        <v>83</v>
      </c>
    </row>
    <row r="111" spans="1:4" ht="28.8" x14ac:dyDescent="0.3">
      <c r="A111" s="14" t="s">
        <v>129</v>
      </c>
      <c r="B111" t="s">
        <v>7</v>
      </c>
      <c r="C111">
        <v>0</v>
      </c>
      <c r="D111" s="7" t="s">
        <v>83</v>
      </c>
    </row>
    <row r="112" spans="1:4" ht="28.8" x14ac:dyDescent="0.3">
      <c r="A112" s="15" t="s">
        <v>130</v>
      </c>
      <c r="B112" t="s">
        <v>7</v>
      </c>
      <c r="C112">
        <v>0</v>
      </c>
      <c r="D112" s="8" t="s">
        <v>83</v>
      </c>
    </row>
    <row r="113" spans="1:4" ht="28.8" x14ac:dyDescent="0.3">
      <c r="A113" s="15" t="s">
        <v>131</v>
      </c>
      <c r="B113" t="s">
        <v>7</v>
      </c>
      <c r="C113">
        <v>0</v>
      </c>
      <c r="D113" s="8" t="s">
        <v>83</v>
      </c>
    </row>
    <row r="114" spans="1:4" ht="28.8" x14ac:dyDescent="0.3">
      <c r="A114" s="16" t="s">
        <v>132</v>
      </c>
      <c r="B114" t="s">
        <v>7</v>
      </c>
      <c r="C114">
        <v>0</v>
      </c>
      <c r="D114" s="9" t="s">
        <v>82</v>
      </c>
    </row>
    <row r="115" spans="1:4" ht="28.8" x14ac:dyDescent="0.3">
      <c r="A115" s="16" t="s">
        <v>133</v>
      </c>
      <c r="B115" t="s">
        <v>7</v>
      </c>
      <c r="C115">
        <v>0</v>
      </c>
      <c r="D115" s="9" t="s">
        <v>82</v>
      </c>
    </row>
    <row r="116" spans="1:4" ht="28.8" x14ac:dyDescent="0.3">
      <c r="A116" s="16" t="s">
        <v>134</v>
      </c>
      <c r="B116" t="s">
        <v>7</v>
      </c>
      <c r="C116">
        <v>0</v>
      </c>
      <c r="D116" s="9" t="s">
        <v>82</v>
      </c>
    </row>
    <row r="117" spans="1:4" ht="28.8" x14ac:dyDescent="0.3">
      <c r="A117" s="17" t="s">
        <v>135</v>
      </c>
      <c r="B117" t="s">
        <v>7</v>
      </c>
      <c r="C117">
        <v>0</v>
      </c>
      <c r="D117" s="10" t="s">
        <v>82</v>
      </c>
    </row>
    <row r="118" spans="1:4" ht="28.8" x14ac:dyDescent="0.3">
      <c r="A118" s="17" t="s">
        <v>136</v>
      </c>
      <c r="B118" t="s">
        <v>7</v>
      </c>
      <c r="C118">
        <v>0</v>
      </c>
      <c r="D118" s="10" t="s">
        <v>82</v>
      </c>
    </row>
    <row r="119" spans="1:4" ht="28.8" x14ac:dyDescent="0.3">
      <c r="A119" s="17" t="s">
        <v>137</v>
      </c>
      <c r="B119" t="s">
        <v>7</v>
      </c>
      <c r="C119">
        <v>0</v>
      </c>
      <c r="D119" s="10" t="s">
        <v>82</v>
      </c>
    </row>
    <row r="120" spans="1:4" ht="28.8" x14ac:dyDescent="0.3">
      <c r="A120" s="18" t="s">
        <v>138</v>
      </c>
      <c r="B120" t="s">
        <v>7</v>
      </c>
      <c r="C120">
        <v>0</v>
      </c>
      <c r="D120" s="11" t="s">
        <v>82</v>
      </c>
    </row>
    <row r="121" spans="1:4" ht="28.8" x14ac:dyDescent="0.3">
      <c r="A121" s="18" t="s">
        <v>139</v>
      </c>
      <c r="B121" t="s">
        <v>7</v>
      </c>
      <c r="C121">
        <v>0</v>
      </c>
      <c r="D121" s="11" t="s">
        <v>82</v>
      </c>
    </row>
    <row r="122" spans="1:4" ht="409.6" x14ac:dyDescent="0.3">
      <c r="A122" s="2" t="s">
        <v>65</v>
      </c>
      <c r="B122" t="s">
        <v>64</v>
      </c>
      <c r="C122">
        <v>0</v>
      </c>
      <c r="D122" t="s">
        <v>83</v>
      </c>
    </row>
    <row r="123" spans="1:4" ht="388.8" x14ac:dyDescent="0.3">
      <c r="A123" s="2" t="s">
        <v>121</v>
      </c>
      <c r="B123" t="s">
        <v>64</v>
      </c>
      <c r="C123">
        <v>0</v>
      </c>
      <c r="D123" t="s">
        <v>83</v>
      </c>
    </row>
    <row r="124" spans="1:4" ht="409.6" thickBot="1" x14ac:dyDescent="0.35">
      <c r="A124" s="2" t="s">
        <v>122</v>
      </c>
      <c r="B124" t="s">
        <v>64</v>
      </c>
      <c r="C124">
        <v>0</v>
      </c>
      <c r="D124" t="s">
        <v>82</v>
      </c>
    </row>
    <row r="125" spans="1:4" ht="231" thickBot="1" x14ac:dyDescent="0.35">
      <c r="A125" s="19" t="s">
        <v>140</v>
      </c>
      <c r="B125" t="s">
        <v>193</v>
      </c>
      <c r="C125">
        <v>1</v>
      </c>
      <c r="D125" t="s">
        <v>83</v>
      </c>
    </row>
    <row r="126" spans="1:4" ht="58.2" thickBot="1" x14ac:dyDescent="0.35">
      <c r="A126" s="20" t="s">
        <v>141</v>
      </c>
      <c r="B126" t="s">
        <v>194</v>
      </c>
      <c r="C126">
        <v>0</v>
      </c>
      <c r="D126" t="s">
        <v>83</v>
      </c>
    </row>
    <row r="127" spans="1:4" ht="409.6" thickBot="1" x14ac:dyDescent="0.35">
      <c r="A127" s="20" t="s">
        <v>142</v>
      </c>
      <c r="B127" t="s">
        <v>194</v>
      </c>
      <c r="C127">
        <v>0</v>
      </c>
      <c r="D127" t="s">
        <v>83</v>
      </c>
    </row>
    <row r="128" spans="1:4" ht="245.4" thickBot="1" x14ac:dyDescent="0.35">
      <c r="A128" s="20" t="s">
        <v>143</v>
      </c>
      <c r="B128" t="s">
        <v>194</v>
      </c>
      <c r="C128">
        <v>0</v>
      </c>
      <c r="D128" t="s">
        <v>83</v>
      </c>
    </row>
    <row r="129" spans="1:4" ht="173.4" thickBot="1" x14ac:dyDescent="0.35">
      <c r="A129" s="20" t="s">
        <v>144</v>
      </c>
      <c r="B129" t="s">
        <v>193</v>
      </c>
      <c r="C129">
        <v>1</v>
      </c>
      <c r="D129" t="s">
        <v>82</v>
      </c>
    </row>
    <row r="130" spans="1:4" ht="288.60000000000002" thickBot="1" x14ac:dyDescent="0.35">
      <c r="A130" s="19" t="s">
        <v>145</v>
      </c>
      <c r="B130" t="s">
        <v>193</v>
      </c>
      <c r="C130">
        <v>1</v>
      </c>
      <c r="D130" t="s">
        <v>83</v>
      </c>
    </row>
    <row r="131" spans="1:4" ht="173.4" thickBot="1" x14ac:dyDescent="0.35">
      <c r="A131" s="19" t="s">
        <v>146</v>
      </c>
      <c r="B131" t="s">
        <v>193</v>
      </c>
      <c r="C131">
        <v>1</v>
      </c>
      <c r="D131" t="s">
        <v>83</v>
      </c>
    </row>
    <row r="132" spans="1:4" ht="144.6" thickBot="1" x14ac:dyDescent="0.35">
      <c r="A132" s="19" t="s">
        <v>147</v>
      </c>
      <c r="B132" t="s">
        <v>193</v>
      </c>
      <c r="C132">
        <v>1</v>
      </c>
      <c r="D132" t="s">
        <v>82</v>
      </c>
    </row>
    <row r="133" spans="1:4" ht="202.2" thickBot="1" x14ac:dyDescent="0.35">
      <c r="A133" s="20" t="s">
        <v>148</v>
      </c>
      <c r="B133" t="s">
        <v>194</v>
      </c>
      <c r="C133">
        <v>0</v>
      </c>
      <c r="D133" t="s">
        <v>83</v>
      </c>
    </row>
    <row r="134" spans="1:4" ht="231" thickBot="1" x14ac:dyDescent="0.35">
      <c r="A134" s="20" t="s">
        <v>149</v>
      </c>
      <c r="B134" t="s">
        <v>194</v>
      </c>
      <c r="C134">
        <v>0</v>
      </c>
      <c r="D134" t="s">
        <v>83</v>
      </c>
    </row>
    <row r="135" spans="1:4" ht="115.8" thickBot="1" x14ac:dyDescent="0.35">
      <c r="A135" s="19" t="s">
        <v>150</v>
      </c>
      <c r="B135" t="s">
        <v>193</v>
      </c>
      <c r="C135">
        <v>1</v>
      </c>
      <c r="D135" t="s">
        <v>83</v>
      </c>
    </row>
    <row r="136" spans="1:4" ht="115.8" thickBot="1" x14ac:dyDescent="0.35">
      <c r="A136" s="19" t="s">
        <v>151</v>
      </c>
      <c r="B136" t="s">
        <v>193</v>
      </c>
      <c r="C136">
        <v>1</v>
      </c>
      <c r="D136" t="s">
        <v>83</v>
      </c>
    </row>
    <row r="137" spans="1:4" ht="231" thickBot="1" x14ac:dyDescent="0.35">
      <c r="A137" s="20" t="s">
        <v>152</v>
      </c>
      <c r="B137" t="s">
        <v>194</v>
      </c>
      <c r="C137">
        <v>0</v>
      </c>
      <c r="D137" t="s">
        <v>83</v>
      </c>
    </row>
    <row r="138" spans="1:4" ht="144.6" thickBot="1" x14ac:dyDescent="0.35">
      <c r="A138" s="19" t="s">
        <v>153</v>
      </c>
      <c r="B138" t="s">
        <v>193</v>
      </c>
      <c r="C138">
        <v>1</v>
      </c>
      <c r="D138" t="s">
        <v>82</v>
      </c>
    </row>
    <row r="139" spans="1:4" ht="288.60000000000002" thickBot="1" x14ac:dyDescent="0.35">
      <c r="A139" s="19" t="s">
        <v>154</v>
      </c>
      <c r="B139" t="s">
        <v>193</v>
      </c>
      <c r="C139">
        <v>1</v>
      </c>
      <c r="D139" t="s">
        <v>82</v>
      </c>
    </row>
    <row r="140" spans="1:4" ht="115.8" thickBot="1" x14ac:dyDescent="0.35">
      <c r="A140" s="20" t="s">
        <v>155</v>
      </c>
      <c r="B140" t="s">
        <v>194</v>
      </c>
      <c r="C140">
        <v>0</v>
      </c>
      <c r="D140" t="s">
        <v>82</v>
      </c>
    </row>
    <row r="141" spans="1:4" ht="331.8" thickBot="1" x14ac:dyDescent="0.35">
      <c r="A141" s="20" t="s">
        <v>156</v>
      </c>
      <c r="B141" t="s">
        <v>194</v>
      </c>
      <c r="C141">
        <v>0</v>
      </c>
      <c r="D141" t="s">
        <v>83</v>
      </c>
    </row>
    <row r="142" spans="1:4" ht="130.19999999999999" thickBot="1" x14ac:dyDescent="0.35">
      <c r="A142" s="19" t="s">
        <v>157</v>
      </c>
      <c r="B142" t="s">
        <v>193</v>
      </c>
      <c r="C142">
        <v>1</v>
      </c>
      <c r="D142" t="s">
        <v>83</v>
      </c>
    </row>
    <row r="143" spans="1:4" ht="43.8" thickBot="1" x14ac:dyDescent="0.35">
      <c r="A143" s="20" t="s">
        <v>158</v>
      </c>
      <c r="B143" t="s">
        <v>194</v>
      </c>
      <c r="C143">
        <v>0</v>
      </c>
      <c r="D143" t="s">
        <v>82</v>
      </c>
    </row>
    <row r="144" spans="1:4" ht="288.60000000000002" thickBot="1" x14ac:dyDescent="0.35">
      <c r="A144" s="19" t="s">
        <v>154</v>
      </c>
      <c r="B144" t="s">
        <v>193</v>
      </c>
      <c r="C144">
        <v>1</v>
      </c>
      <c r="D144" t="s">
        <v>82</v>
      </c>
    </row>
    <row r="145" spans="1:4" ht="58.2" thickBot="1" x14ac:dyDescent="0.35">
      <c r="A145" s="19" t="s">
        <v>159</v>
      </c>
      <c r="B145" t="s">
        <v>193</v>
      </c>
      <c r="C145">
        <v>1</v>
      </c>
      <c r="D145" t="s">
        <v>82</v>
      </c>
    </row>
    <row r="146" spans="1:4" ht="43.8" thickBot="1" x14ac:dyDescent="0.35">
      <c r="A146" s="20" t="s">
        <v>160</v>
      </c>
      <c r="B146" t="s">
        <v>194</v>
      </c>
      <c r="C146">
        <v>0</v>
      </c>
      <c r="D146" t="s">
        <v>82</v>
      </c>
    </row>
    <row r="147" spans="1:4" ht="58.2" thickBot="1" x14ac:dyDescent="0.35">
      <c r="A147" s="20" t="s">
        <v>161</v>
      </c>
      <c r="B147" t="s">
        <v>193</v>
      </c>
      <c r="C147">
        <v>1</v>
      </c>
      <c r="D147" t="s">
        <v>82</v>
      </c>
    </row>
    <row r="148" spans="1:4" ht="87" thickBot="1" x14ac:dyDescent="0.35">
      <c r="A148" s="20" t="s">
        <v>162</v>
      </c>
      <c r="B148" t="s">
        <v>194</v>
      </c>
      <c r="C148">
        <v>0</v>
      </c>
      <c r="D148" t="s">
        <v>82</v>
      </c>
    </row>
    <row r="149" spans="1:4" ht="173.4" thickBot="1" x14ac:dyDescent="0.35">
      <c r="A149" s="20" t="s">
        <v>163</v>
      </c>
      <c r="B149" t="s">
        <v>193</v>
      </c>
      <c r="C149">
        <v>1</v>
      </c>
      <c r="D149" t="s">
        <v>82</v>
      </c>
    </row>
    <row r="150" spans="1:4" ht="87" thickBot="1" x14ac:dyDescent="0.35">
      <c r="A150" s="20" t="s">
        <v>164</v>
      </c>
      <c r="B150" t="s">
        <v>194</v>
      </c>
      <c r="C150">
        <v>0</v>
      </c>
      <c r="D150" t="s">
        <v>82</v>
      </c>
    </row>
    <row r="151" spans="1:4" ht="115.8" thickBot="1" x14ac:dyDescent="0.35">
      <c r="A151" s="19" t="s">
        <v>165</v>
      </c>
      <c r="B151" t="s">
        <v>193</v>
      </c>
      <c r="C151">
        <v>1</v>
      </c>
      <c r="D151" t="s">
        <v>83</v>
      </c>
    </row>
    <row r="152" spans="1:4" ht="144.6" thickBot="1" x14ac:dyDescent="0.35">
      <c r="A152" s="19" t="s">
        <v>166</v>
      </c>
      <c r="B152" t="s">
        <v>193</v>
      </c>
      <c r="C152">
        <v>1</v>
      </c>
      <c r="D152" t="s">
        <v>83</v>
      </c>
    </row>
    <row r="153" spans="1:4" ht="43.8" thickBot="1" x14ac:dyDescent="0.35">
      <c r="A153" s="20" t="s">
        <v>167</v>
      </c>
      <c r="B153" t="s">
        <v>194</v>
      </c>
      <c r="C153">
        <v>0</v>
      </c>
      <c r="D153" t="s">
        <v>83</v>
      </c>
    </row>
    <row r="154" spans="1:4" ht="43.8" thickBot="1" x14ac:dyDescent="0.35">
      <c r="A154" s="19" t="s">
        <v>168</v>
      </c>
      <c r="B154" t="s">
        <v>193</v>
      </c>
      <c r="C154">
        <v>1</v>
      </c>
      <c r="D154" t="s">
        <v>82</v>
      </c>
    </row>
    <row r="155" spans="1:4" ht="259.8" thickBot="1" x14ac:dyDescent="0.35">
      <c r="A155" s="20" t="s">
        <v>169</v>
      </c>
      <c r="B155" t="s">
        <v>194</v>
      </c>
      <c r="C155">
        <v>0</v>
      </c>
      <c r="D155" t="s">
        <v>82</v>
      </c>
    </row>
    <row r="156" spans="1:4" ht="231" thickBot="1" x14ac:dyDescent="0.35">
      <c r="A156" s="20" t="s">
        <v>23</v>
      </c>
      <c r="B156" t="s">
        <v>194</v>
      </c>
      <c r="C156">
        <v>0</v>
      </c>
      <c r="D156" t="s">
        <v>82</v>
      </c>
    </row>
    <row r="157" spans="1:4" ht="72.599999999999994" thickBot="1" x14ac:dyDescent="0.35">
      <c r="A157" s="19" t="s">
        <v>170</v>
      </c>
      <c r="B157" t="s">
        <v>193</v>
      </c>
      <c r="C157">
        <v>1</v>
      </c>
      <c r="D157" t="s">
        <v>83</v>
      </c>
    </row>
    <row r="158" spans="1:4" ht="58.2" thickBot="1" x14ac:dyDescent="0.35">
      <c r="A158" s="19" t="s">
        <v>171</v>
      </c>
      <c r="B158" t="s">
        <v>193</v>
      </c>
      <c r="C158">
        <v>1</v>
      </c>
      <c r="D158" t="s">
        <v>83</v>
      </c>
    </row>
    <row r="159" spans="1:4" ht="409.6" thickBot="1" x14ac:dyDescent="0.35">
      <c r="A159" s="20" t="s">
        <v>172</v>
      </c>
      <c r="B159" t="s">
        <v>194</v>
      </c>
      <c r="C159">
        <v>0</v>
      </c>
      <c r="D159" t="s">
        <v>83</v>
      </c>
    </row>
    <row r="160" spans="1:4" ht="130.19999999999999" thickBot="1" x14ac:dyDescent="0.35">
      <c r="A160" s="19" t="s">
        <v>157</v>
      </c>
      <c r="B160" t="s">
        <v>193</v>
      </c>
      <c r="C160">
        <v>1</v>
      </c>
      <c r="D160" t="s">
        <v>83</v>
      </c>
    </row>
    <row r="161" spans="1:4" ht="409.6" thickBot="1" x14ac:dyDescent="0.35">
      <c r="A161" s="19" t="s">
        <v>173</v>
      </c>
      <c r="B161" t="s">
        <v>193</v>
      </c>
      <c r="C161">
        <v>1</v>
      </c>
      <c r="D161" t="s">
        <v>83</v>
      </c>
    </row>
    <row r="162" spans="1:4" ht="231" thickBot="1" x14ac:dyDescent="0.35">
      <c r="A162" s="20" t="s">
        <v>174</v>
      </c>
      <c r="B162" t="s">
        <v>194</v>
      </c>
      <c r="C162">
        <v>0</v>
      </c>
      <c r="D162" t="s">
        <v>83</v>
      </c>
    </row>
    <row r="163" spans="1:4" ht="130.19999999999999" thickBot="1" x14ac:dyDescent="0.35">
      <c r="A163" s="19" t="s">
        <v>175</v>
      </c>
      <c r="B163" t="s">
        <v>193</v>
      </c>
      <c r="C163">
        <v>1</v>
      </c>
      <c r="D163" t="s">
        <v>82</v>
      </c>
    </row>
    <row r="164" spans="1:4" ht="58.2" thickBot="1" x14ac:dyDescent="0.35">
      <c r="A164" s="19" t="s">
        <v>176</v>
      </c>
      <c r="B164" t="s">
        <v>193</v>
      </c>
      <c r="C164">
        <v>1</v>
      </c>
      <c r="D164" t="s">
        <v>83</v>
      </c>
    </row>
    <row r="165" spans="1:4" ht="245.4" thickBot="1" x14ac:dyDescent="0.35">
      <c r="A165" s="20" t="s">
        <v>177</v>
      </c>
      <c r="B165" t="s">
        <v>194</v>
      </c>
      <c r="C165">
        <v>0</v>
      </c>
      <c r="D165" t="s">
        <v>83</v>
      </c>
    </row>
    <row r="166" spans="1:4" ht="259.8" thickBot="1" x14ac:dyDescent="0.35">
      <c r="A166" s="19" t="s">
        <v>178</v>
      </c>
      <c r="B166" t="s">
        <v>193</v>
      </c>
      <c r="C166">
        <v>1</v>
      </c>
      <c r="D166" t="s">
        <v>83</v>
      </c>
    </row>
    <row r="167" spans="1:4" ht="58.2" thickBot="1" x14ac:dyDescent="0.35">
      <c r="A167" s="19" t="s">
        <v>179</v>
      </c>
      <c r="B167" t="s">
        <v>193</v>
      </c>
      <c r="C167">
        <v>1</v>
      </c>
      <c r="D167" t="s">
        <v>82</v>
      </c>
    </row>
    <row r="168" spans="1:4" ht="58.2" thickBot="1" x14ac:dyDescent="0.35">
      <c r="A168" s="19" t="s">
        <v>180</v>
      </c>
      <c r="B168" t="s">
        <v>193</v>
      </c>
      <c r="C168">
        <v>1</v>
      </c>
      <c r="D168" t="s">
        <v>83</v>
      </c>
    </row>
    <row r="169" spans="1:4" ht="29.4" thickBot="1" x14ac:dyDescent="0.35">
      <c r="A169" s="19" t="s">
        <v>181</v>
      </c>
      <c r="B169" t="s">
        <v>193</v>
      </c>
      <c r="C169">
        <v>1</v>
      </c>
      <c r="D169" t="s">
        <v>82</v>
      </c>
    </row>
    <row r="170" spans="1:4" ht="130.19999999999999" thickBot="1" x14ac:dyDescent="0.35">
      <c r="A170" s="20" t="s">
        <v>182</v>
      </c>
      <c r="B170" t="s">
        <v>194</v>
      </c>
      <c r="C170">
        <v>0</v>
      </c>
      <c r="D170" t="s">
        <v>83</v>
      </c>
    </row>
    <row r="171" spans="1:4" ht="187.8" thickBot="1" x14ac:dyDescent="0.35">
      <c r="A171" s="20" t="s">
        <v>183</v>
      </c>
      <c r="B171" t="s">
        <v>194</v>
      </c>
      <c r="C171">
        <v>0</v>
      </c>
      <c r="D171" t="s">
        <v>82</v>
      </c>
    </row>
    <row r="172" spans="1:4" ht="29.4" thickBot="1" x14ac:dyDescent="0.35">
      <c r="A172" s="19" t="s">
        <v>184</v>
      </c>
      <c r="B172" t="s">
        <v>193</v>
      </c>
      <c r="C172">
        <v>1</v>
      </c>
      <c r="D172" t="s">
        <v>82</v>
      </c>
    </row>
    <row r="173" spans="1:4" ht="58.2" thickBot="1" x14ac:dyDescent="0.35">
      <c r="A173" s="19" t="s">
        <v>185</v>
      </c>
      <c r="B173" t="s">
        <v>193</v>
      </c>
      <c r="C173">
        <v>1</v>
      </c>
      <c r="D173" t="s">
        <v>83</v>
      </c>
    </row>
    <row r="174" spans="1:4" ht="101.4" thickBot="1" x14ac:dyDescent="0.35">
      <c r="A174" s="20" t="s">
        <v>186</v>
      </c>
      <c r="B174" t="s">
        <v>194</v>
      </c>
      <c r="C174">
        <v>0</v>
      </c>
      <c r="D174" t="s">
        <v>82</v>
      </c>
    </row>
    <row r="175" spans="1:4" ht="202.2" thickBot="1" x14ac:dyDescent="0.35">
      <c r="A175" s="20" t="s">
        <v>187</v>
      </c>
      <c r="B175" t="s">
        <v>194</v>
      </c>
      <c r="C175">
        <v>0</v>
      </c>
      <c r="D175" t="s">
        <v>83</v>
      </c>
    </row>
    <row r="176" spans="1:4" ht="58.2" thickBot="1" x14ac:dyDescent="0.35">
      <c r="A176" s="19" t="s">
        <v>188</v>
      </c>
      <c r="B176" t="s">
        <v>193</v>
      </c>
      <c r="C176">
        <v>1</v>
      </c>
      <c r="D176" t="s">
        <v>83</v>
      </c>
    </row>
    <row r="177" spans="1:4" ht="231" thickBot="1" x14ac:dyDescent="0.35">
      <c r="A177" s="20" t="s">
        <v>189</v>
      </c>
      <c r="B177" t="s">
        <v>194</v>
      </c>
      <c r="C177">
        <v>0</v>
      </c>
      <c r="D177" t="s">
        <v>83</v>
      </c>
    </row>
    <row r="178" spans="1:4" ht="409.6" thickBot="1" x14ac:dyDescent="0.35">
      <c r="A178" s="20" t="s">
        <v>190</v>
      </c>
      <c r="B178" t="s">
        <v>194</v>
      </c>
      <c r="C178">
        <v>0</v>
      </c>
      <c r="D178" t="s">
        <v>83</v>
      </c>
    </row>
    <row r="179" spans="1:4" ht="144.6" thickBot="1" x14ac:dyDescent="0.35">
      <c r="A179" s="19" t="s">
        <v>191</v>
      </c>
      <c r="B179" t="s">
        <v>193</v>
      </c>
      <c r="C179">
        <v>1</v>
      </c>
      <c r="D179" t="s">
        <v>82</v>
      </c>
    </row>
    <row r="180" spans="1:4" ht="115.8" thickBot="1" x14ac:dyDescent="0.35">
      <c r="A180" s="20" t="s">
        <v>192</v>
      </c>
      <c r="B180" t="s">
        <v>194</v>
      </c>
      <c r="C180">
        <v>0</v>
      </c>
      <c r="D180" t="s">
        <v>82</v>
      </c>
    </row>
    <row r="181" spans="1:4" ht="409.6" thickBot="1" x14ac:dyDescent="0.35">
      <c r="A181" s="21" t="s">
        <v>195</v>
      </c>
      <c r="B181" t="s">
        <v>194</v>
      </c>
      <c r="C181">
        <v>0</v>
      </c>
      <c r="D181" t="s">
        <v>83</v>
      </c>
    </row>
    <row r="182" spans="1:4" ht="87" thickBot="1" x14ac:dyDescent="0.35">
      <c r="A182" s="22" t="s">
        <v>196</v>
      </c>
      <c r="B182" t="s">
        <v>194</v>
      </c>
      <c r="C182">
        <v>0</v>
      </c>
      <c r="D182" t="s">
        <v>82</v>
      </c>
    </row>
    <row r="183" spans="1:4" ht="187.8" thickBot="1" x14ac:dyDescent="0.35">
      <c r="A183" s="23" t="s">
        <v>197</v>
      </c>
      <c r="B183" t="s">
        <v>194</v>
      </c>
      <c r="C183">
        <v>0</v>
      </c>
      <c r="D183" t="s">
        <v>82</v>
      </c>
    </row>
    <row r="184" spans="1:4" ht="389.4" thickBot="1" x14ac:dyDescent="0.35">
      <c r="A184" s="22" t="s">
        <v>198</v>
      </c>
      <c r="B184" t="s">
        <v>194</v>
      </c>
      <c r="C184">
        <v>0</v>
      </c>
      <c r="D184" t="s">
        <v>83</v>
      </c>
    </row>
    <row r="185" spans="1:4" ht="15" thickBot="1" x14ac:dyDescent="0.35">
      <c r="A185" s="23" t="s">
        <v>199</v>
      </c>
      <c r="B185" t="s">
        <v>194</v>
      </c>
      <c r="C185">
        <v>0</v>
      </c>
      <c r="D185" t="s">
        <v>82</v>
      </c>
    </row>
    <row r="186" spans="1:4" ht="409.6" thickBot="1" x14ac:dyDescent="0.35">
      <c r="A186" s="22" t="s">
        <v>200</v>
      </c>
      <c r="B186" t="s">
        <v>194</v>
      </c>
      <c r="C186">
        <v>0</v>
      </c>
      <c r="D186" t="s">
        <v>82</v>
      </c>
    </row>
    <row r="187" spans="1:4" ht="409.6" thickBot="1" x14ac:dyDescent="0.35">
      <c r="A187" s="24" t="s">
        <v>201</v>
      </c>
      <c r="B187" t="s">
        <v>193</v>
      </c>
      <c r="C187">
        <v>1</v>
      </c>
      <c r="D187" t="s">
        <v>82</v>
      </c>
    </row>
    <row r="188" spans="1:4" ht="245.4" thickBot="1" x14ac:dyDescent="0.35">
      <c r="A188" s="21" t="s">
        <v>202</v>
      </c>
      <c r="B188" t="s">
        <v>193</v>
      </c>
      <c r="C188">
        <v>1</v>
      </c>
      <c r="D188" t="s">
        <v>82</v>
      </c>
    </row>
    <row r="189" spans="1:4" ht="43.8" thickBot="1" x14ac:dyDescent="0.35">
      <c r="A189" s="22" t="s">
        <v>203</v>
      </c>
      <c r="B189" t="s">
        <v>193</v>
      </c>
      <c r="C189">
        <v>1</v>
      </c>
      <c r="D189" t="s">
        <v>82</v>
      </c>
    </row>
    <row r="190" spans="1:4" ht="101.4" thickBot="1" x14ac:dyDescent="0.35">
      <c r="A190" s="23" t="s">
        <v>204</v>
      </c>
      <c r="B190" t="s">
        <v>193</v>
      </c>
      <c r="C190">
        <v>1</v>
      </c>
      <c r="D190" t="s">
        <v>83</v>
      </c>
    </row>
    <row r="191" spans="1:4" ht="245.4" thickBot="1" x14ac:dyDescent="0.35">
      <c r="A191" s="22" t="s">
        <v>205</v>
      </c>
      <c r="B191" t="s">
        <v>193</v>
      </c>
      <c r="C191">
        <v>1</v>
      </c>
      <c r="D191" t="s">
        <v>82</v>
      </c>
    </row>
    <row r="192" spans="1:4" ht="159" thickBot="1" x14ac:dyDescent="0.35">
      <c r="A192" s="23" t="s">
        <v>206</v>
      </c>
      <c r="B192" t="s">
        <v>193</v>
      </c>
      <c r="C192">
        <v>1</v>
      </c>
      <c r="D192" t="s">
        <v>82</v>
      </c>
    </row>
    <row r="193" spans="1:4" ht="58.2" thickBot="1" x14ac:dyDescent="0.35">
      <c r="A193" s="22" t="s">
        <v>207</v>
      </c>
      <c r="B193" t="s">
        <v>193</v>
      </c>
      <c r="C193">
        <v>1</v>
      </c>
      <c r="D193" t="s">
        <v>82</v>
      </c>
    </row>
    <row r="194" spans="1:4" ht="231" thickBot="1" x14ac:dyDescent="0.35">
      <c r="A194" s="23" t="s">
        <v>208</v>
      </c>
      <c r="B194" t="s">
        <v>193</v>
      </c>
      <c r="C194">
        <v>1</v>
      </c>
      <c r="D194" t="s">
        <v>82</v>
      </c>
    </row>
    <row r="195" spans="1:4" ht="58.2" thickBot="1" x14ac:dyDescent="0.35">
      <c r="A195" s="22" t="s">
        <v>209</v>
      </c>
      <c r="B195" t="s">
        <v>193</v>
      </c>
      <c r="C195">
        <v>1</v>
      </c>
      <c r="D195" t="s">
        <v>82</v>
      </c>
    </row>
    <row r="196" spans="1:4" ht="231" thickBot="1" x14ac:dyDescent="0.35">
      <c r="A196" s="23" t="s">
        <v>210</v>
      </c>
      <c r="B196" t="s">
        <v>193</v>
      </c>
      <c r="C196">
        <v>1</v>
      </c>
      <c r="D196" t="s">
        <v>82</v>
      </c>
    </row>
    <row r="197" spans="1:4" ht="187.8" thickBot="1" x14ac:dyDescent="0.35">
      <c r="A197" s="22" t="s">
        <v>211</v>
      </c>
      <c r="B197" t="s">
        <v>193</v>
      </c>
      <c r="C197">
        <v>1</v>
      </c>
      <c r="D197" t="s">
        <v>82</v>
      </c>
    </row>
    <row r="198" spans="1:4" ht="58.2" thickBot="1" x14ac:dyDescent="0.35">
      <c r="A198" s="23" t="s">
        <v>212</v>
      </c>
      <c r="B198" t="s">
        <v>193</v>
      </c>
      <c r="C198">
        <v>1</v>
      </c>
      <c r="D198" t="s">
        <v>82</v>
      </c>
    </row>
    <row r="199" spans="1:4" ht="130.19999999999999" thickBot="1" x14ac:dyDescent="0.35">
      <c r="A199" s="22" t="s">
        <v>213</v>
      </c>
      <c r="B199" t="s">
        <v>193</v>
      </c>
      <c r="C199">
        <v>1</v>
      </c>
      <c r="D199" t="s">
        <v>82</v>
      </c>
    </row>
    <row r="200" spans="1:4" ht="317.39999999999998" thickBot="1" x14ac:dyDescent="0.35">
      <c r="A200" s="23" t="s">
        <v>214</v>
      </c>
      <c r="B200" t="s">
        <v>193</v>
      </c>
      <c r="C200">
        <v>1</v>
      </c>
      <c r="D200" t="s">
        <v>83</v>
      </c>
    </row>
    <row r="201" spans="1:4" ht="72.599999999999994" thickBot="1" x14ac:dyDescent="0.35">
      <c r="A201" s="22" t="s">
        <v>215</v>
      </c>
      <c r="B201" t="s">
        <v>193</v>
      </c>
      <c r="C201">
        <v>1</v>
      </c>
      <c r="D201" t="s">
        <v>82</v>
      </c>
    </row>
    <row r="202" spans="1:4" ht="231" thickBot="1" x14ac:dyDescent="0.35">
      <c r="A202" s="23" t="s">
        <v>216</v>
      </c>
      <c r="B202" t="s">
        <v>193</v>
      </c>
      <c r="C202">
        <v>1</v>
      </c>
      <c r="D202" t="s">
        <v>82</v>
      </c>
    </row>
    <row r="203" spans="1:4" ht="58.2" thickBot="1" x14ac:dyDescent="0.35">
      <c r="A203" s="22" t="s">
        <v>25</v>
      </c>
      <c r="B203" t="s">
        <v>193</v>
      </c>
      <c r="C203">
        <v>1</v>
      </c>
      <c r="D203" t="s">
        <v>82</v>
      </c>
    </row>
    <row r="204" spans="1:4" ht="409.6" thickBot="1" x14ac:dyDescent="0.35">
      <c r="A204" s="23" t="s">
        <v>217</v>
      </c>
      <c r="B204" t="s">
        <v>193</v>
      </c>
      <c r="C204">
        <v>1</v>
      </c>
      <c r="D204" t="s">
        <v>83</v>
      </c>
    </row>
    <row r="205" spans="1:4" ht="43.8" thickBot="1" x14ac:dyDescent="0.35">
      <c r="A205" s="22" t="s">
        <v>218</v>
      </c>
      <c r="B205" t="s">
        <v>193</v>
      </c>
      <c r="C205">
        <v>1</v>
      </c>
      <c r="D205" t="s">
        <v>82</v>
      </c>
    </row>
    <row r="206" spans="1:4" ht="231" thickBot="1" x14ac:dyDescent="0.35">
      <c r="A206" s="23" t="s">
        <v>219</v>
      </c>
      <c r="B206" t="s">
        <v>193</v>
      </c>
      <c r="C206">
        <v>1</v>
      </c>
      <c r="D206" t="s">
        <v>83</v>
      </c>
    </row>
    <row r="207" spans="1:4" ht="409.6" thickBot="1" x14ac:dyDescent="0.35">
      <c r="A207" s="22" t="s">
        <v>220</v>
      </c>
      <c r="B207" t="s">
        <v>193</v>
      </c>
      <c r="C207">
        <v>1</v>
      </c>
      <c r="D207" t="s">
        <v>82</v>
      </c>
    </row>
    <row r="208" spans="1:4" ht="409.6" thickBot="1" x14ac:dyDescent="0.35">
      <c r="A208" s="23" t="s">
        <v>221</v>
      </c>
      <c r="B208" t="s">
        <v>193</v>
      </c>
      <c r="C208">
        <v>1</v>
      </c>
      <c r="D208" t="s">
        <v>82</v>
      </c>
    </row>
    <row r="209" spans="1:4" ht="43.8" thickBot="1" x14ac:dyDescent="0.35">
      <c r="A209" s="22" t="s">
        <v>222</v>
      </c>
      <c r="B209" t="s">
        <v>193</v>
      </c>
      <c r="C209">
        <v>1</v>
      </c>
      <c r="D209" t="s">
        <v>82</v>
      </c>
    </row>
    <row r="210" spans="1:4" ht="288.60000000000002" thickBot="1" x14ac:dyDescent="0.35">
      <c r="A210" s="23" t="s">
        <v>223</v>
      </c>
      <c r="B210" t="s">
        <v>193</v>
      </c>
      <c r="C210">
        <v>1</v>
      </c>
      <c r="D210" t="s">
        <v>82</v>
      </c>
    </row>
    <row r="211" spans="1:4" ht="87" thickBot="1" x14ac:dyDescent="0.35">
      <c r="A211" s="22" t="s">
        <v>9</v>
      </c>
      <c r="B211" t="s">
        <v>193</v>
      </c>
      <c r="C211">
        <v>1</v>
      </c>
      <c r="D211" t="s">
        <v>82</v>
      </c>
    </row>
    <row r="212" spans="1:4" ht="187.8" thickBot="1" x14ac:dyDescent="0.35">
      <c r="A212" s="23" t="s">
        <v>224</v>
      </c>
      <c r="B212" t="s">
        <v>193</v>
      </c>
      <c r="C212">
        <v>1</v>
      </c>
      <c r="D212" t="s">
        <v>82</v>
      </c>
    </row>
    <row r="213" spans="1:4" ht="303" thickBot="1" x14ac:dyDescent="0.35">
      <c r="A213" s="22" t="s">
        <v>225</v>
      </c>
      <c r="B213" t="s">
        <v>193</v>
      </c>
      <c r="C213">
        <v>1</v>
      </c>
      <c r="D213" t="s">
        <v>82</v>
      </c>
    </row>
    <row r="214" spans="1:4" ht="274.2" thickBot="1" x14ac:dyDescent="0.35">
      <c r="A214" s="23" t="s">
        <v>226</v>
      </c>
      <c r="B214" t="s">
        <v>193</v>
      </c>
      <c r="C214">
        <v>1</v>
      </c>
      <c r="D214" t="s">
        <v>83</v>
      </c>
    </row>
    <row r="215" spans="1:4" ht="274.2" thickBot="1" x14ac:dyDescent="0.35">
      <c r="A215" s="22" t="s">
        <v>227</v>
      </c>
      <c r="B215" t="s">
        <v>193</v>
      </c>
      <c r="C215">
        <v>1</v>
      </c>
      <c r="D215" t="s">
        <v>82</v>
      </c>
    </row>
    <row r="216" spans="1:4" ht="274.2" thickBot="1" x14ac:dyDescent="0.35">
      <c r="A216" s="23" t="s">
        <v>228</v>
      </c>
      <c r="B216" t="s">
        <v>193</v>
      </c>
      <c r="C216">
        <v>1</v>
      </c>
      <c r="D216" t="s">
        <v>82</v>
      </c>
    </row>
    <row r="217" spans="1:4" ht="409.6" thickBot="1" x14ac:dyDescent="0.35">
      <c r="A217" s="22" t="s">
        <v>229</v>
      </c>
      <c r="B217" t="s">
        <v>193</v>
      </c>
      <c r="C217">
        <v>1</v>
      </c>
      <c r="D217" t="s">
        <v>83</v>
      </c>
    </row>
    <row r="218" spans="1:4" ht="409.6" thickBot="1" x14ac:dyDescent="0.35">
      <c r="A218" s="23" t="s">
        <v>230</v>
      </c>
      <c r="B218" t="s">
        <v>193</v>
      </c>
      <c r="C218">
        <v>1</v>
      </c>
      <c r="D218" t="s">
        <v>82</v>
      </c>
    </row>
    <row r="219" spans="1:4" ht="72.599999999999994" thickBot="1" x14ac:dyDescent="0.35">
      <c r="A219" s="22" t="s">
        <v>231</v>
      </c>
      <c r="B219" t="s">
        <v>193</v>
      </c>
      <c r="C219">
        <v>1</v>
      </c>
      <c r="D219" t="s">
        <v>82</v>
      </c>
    </row>
    <row r="220" spans="1:4" ht="409.6" thickBot="1" x14ac:dyDescent="0.35">
      <c r="A220" s="23" t="s">
        <v>232</v>
      </c>
      <c r="B220" t="s">
        <v>193</v>
      </c>
      <c r="C220">
        <v>1</v>
      </c>
      <c r="D220" t="s">
        <v>82</v>
      </c>
    </row>
    <row r="221" spans="1:4" ht="144.6" thickBot="1" x14ac:dyDescent="0.35">
      <c r="A221" s="22" t="s">
        <v>233</v>
      </c>
      <c r="B221" t="s">
        <v>193</v>
      </c>
      <c r="C221">
        <v>1</v>
      </c>
      <c r="D221" t="s">
        <v>82</v>
      </c>
    </row>
    <row r="222" spans="1:4" ht="409.6" thickBot="1" x14ac:dyDescent="0.35">
      <c r="A222" s="23" t="s">
        <v>234</v>
      </c>
      <c r="B222" t="s">
        <v>193</v>
      </c>
      <c r="C222">
        <v>1</v>
      </c>
      <c r="D222" t="s">
        <v>83</v>
      </c>
    </row>
    <row r="223" spans="1:4" ht="409.6" thickBot="1" x14ac:dyDescent="0.35">
      <c r="A223" s="22" t="s">
        <v>235</v>
      </c>
      <c r="B223" t="s">
        <v>193</v>
      </c>
      <c r="C223">
        <v>1</v>
      </c>
      <c r="D223" t="s">
        <v>82</v>
      </c>
    </row>
    <row r="224" spans="1:4" ht="409.6" x14ac:dyDescent="0.3">
      <c r="A224" s="24" t="s">
        <v>236</v>
      </c>
      <c r="B224" t="s">
        <v>193</v>
      </c>
      <c r="C224">
        <v>1</v>
      </c>
      <c r="D224" t="s">
        <v>82</v>
      </c>
    </row>
    <row r="225" spans="1:4" ht="409.6" x14ac:dyDescent="0.3">
      <c r="A225" s="1" t="s">
        <v>238</v>
      </c>
      <c r="B225" t="s">
        <v>242</v>
      </c>
      <c r="C225">
        <v>0</v>
      </c>
      <c r="D225" t="s">
        <v>83</v>
      </c>
    </row>
    <row r="226" spans="1:4" ht="409.6" x14ac:dyDescent="0.3">
      <c r="A226" s="1" t="s">
        <v>239</v>
      </c>
      <c r="B226" t="s">
        <v>242</v>
      </c>
      <c r="C226">
        <v>0</v>
      </c>
      <c r="D226" t="s">
        <v>83</v>
      </c>
    </row>
    <row r="227" spans="1:4" ht="374.4" x14ac:dyDescent="0.3">
      <c r="A227" s="1" t="s">
        <v>240</v>
      </c>
      <c r="B227" t="s">
        <v>242</v>
      </c>
      <c r="C227">
        <v>0</v>
      </c>
      <c r="D227" t="s">
        <v>83</v>
      </c>
    </row>
    <row r="228" spans="1:4" ht="388.8" x14ac:dyDescent="0.3">
      <c r="A228" s="1" t="s">
        <v>198</v>
      </c>
      <c r="B228" t="s">
        <v>242</v>
      </c>
      <c r="C228">
        <v>0</v>
      </c>
      <c r="D228" t="s">
        <v>83</v>
      </c>
    </row>
    <row r="229" spans="1:4" ht="409.6" x14ac:dyDescent="0.3">
      <c r="A229" s="1" t="s">
        <v>241</v>
      </c>
      <c r="B229" t="s">
        <v>242</v>
      </c>
      <c r="C229">
        <v>0</v>
      </c>
      <c r="D229" t="s">
        <v>83</v>
      </c>
    </row>
    <row r="230" spans="1:4" ht="388.8" x14ac:dyDescent="0.3">
      <c r="A230" s="1" t="s">
        <v>198</v>
      </c>
      <c r="B230" t="s">
        <v>242</v>
      </c>
      <c r="C230">
        <v>0</v>
      </c>
      <c r="D230" t="s">
        <v>83</v>
      </c>
    </row>
    <row r="231" spans="1:4" ht="409.6" x14ac:dyDescent="0.3">
      <c r="A231" s="1" t="s">
        <v>243</v>
      </c>
      <c r="B231" t="s">
        <v>242</v>
      </c>
      <c r="C231">
        <v>0</v>
      </c>
      <c r="D231" t="s">
        <v>83</v>
      </c>
    </row>
    <row r="232" spans="1:4" ht="388.8" x14ac:dyDescent="0.3">
      <c r="A232" s="1" t="s">
        <v>244</v>
      </c>
      <c r="B232" t="s">
        <v>242</v>
      </c>
      <c r="C232">
        <v>0</v>
      </c>
      <c r="D232" t="s">
        <v>83</v>
      </c>
    </row>
    <row r="233" spans="1:4" ht="100.8" x14ac:dyDescent="0.3">
      <c r="A233" s="1" t="s">
        <v>245</v>
      </c>
      <c r="B233" t="s">
        <v>242</v>
      </c>
      <c r="C233">
        <v>0</v>
      </c>
      <c r="D233" t="s">
        <v>83</v>
      </c>
    </row>
    <row r="234" spans="1:4" ht="409.6" x14ac:dyDescent="0.3">
      <c r="A234" s="1" t="s">
        <v>246</v>
      </c>
      <c r="B234" t="s">
        <v>242</v>
      </c>
      <c r="C234">
        <v>0</v>
      </c>
      <c r="D234" t="s">
        <v>83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CF84-7A9B-4955-95D5-DD3D56083E54}">
  <dimension ref="A1:L13"/>
  <sheetViews>
    <sheetView workbookViewId="0">
      <selection activeCell="J19" sqref="J19"/>
    </sheetView>
  </sheetViews>
  <sheetFormatPr defaultRowHeight="14.4" x14ac:dyDescent="0.3"/>
  <cols>
    <col min="5" max="5" width="13.44140625" bestFit="1" customWidth="1"/>
    <col min="6" max="6" width="13.77734375" bestFit="1" customWidth="1"/>
    <col min="8" max="8" width="12" customWidth="1"/>
  </cols>
  <sheetData>
    <row r="1" spans="1:12" x14ac:dyDescent="0.3">
      <c r="B1" t="s">
        <v>8</v>
      </c>
      <c r="C1" t="s">
        <v>33</v>
      </c>
      <c r="D1" t="s">
        <v>34</v>
      </c>
      <c r="E1" t="s">
        <v>79</v>
      </c>
      <c r="F1" t="s">
        <v>80</v>
      </c>
      <c r="H1" t="s">
        <v>237</v>
      </c>
      <c r="I1" s="25" t="s">
        <v>0</v>
      </c>
      <c r="J1" s="25" t="s">
        <v>1</v>
      </c>
      <c r="K1" s="25" t="s">
        <v>2</v>
      </c>
      <c r="L1" s="25" t="s">
        <v>81</v>
      </c>
    </row>
    <row r="2" spans="1:12" x14ac:dyDescent="0.3">
      <c r="A2" t="s">
        <v>3</v>
      </c>
      <c r="B2">
        <f>COUNTIFS(Таблиця1[text], "&lt;&gt;", Таблиця1[group], A2)</f>
        <v>20</v>
      </c>
      <c r="C2">
        <f>COUNTIF(Таблиця1[group],Саммари!A2)</f>
        <v>20</v>
      </c>
      <c r="D2">
        <f>C2-B2</f>
        <v>0</v>
      </c>
      <c r="E2">
        <f>COUNTIFS(Таблиця1[text], "&lt;&gt;", Таблиця1[group], A2, Таблиця1[lang], "ru")</f>
        <v>8</v>
      </c>
      <c r="F2">
        <f>COUNTIFS(Таблиця1[text], "&lt;&gt;", Таблиця1[group], A2, Таблиця1[lang], "en")</f>
        <v>12</v>
      </c>
      <c r="I2">
        <f>COUNTBLANK(Таблиця1[text])</f>
        <v>0</v>
      </c>
      <c r="J2">
        <f>COUNTBLANK(Таблиця1[group])</f>
        <v>0</v>
      </c>
      <c r="K2">
        <f>COUNTBLANK(Таблиця1[label])</f>
        <v>0</v>
      </c>
      <c r="L2">
        <f>COUNTBLANK(Таблиця1[lang])</f>
        <v>0</v>
      </c>
    </row>
    <row r="3" spans="1:12" x14ac:dyDescent="0.3">
      <c r="A3" t="s">
        <v>4</v>
      </c>
      <c r="B3">
        <f>COUNTIFS(Таблиця1[text], "&lt;&gt;", Таблиця1[group], A3)</f>
        <v>30</v>
      </c>
      <c r="C3">
        <f>COUNTIF(Таблиця1[group],Саммари!A3)</f>
        <v>30</v>
      </c>
      <c r="D3">
        <f t="shared" ref="D3:D7" si="0">C3-B3</f>
        <v>0</v>
      </c>
      <c r="E3">
        <f>COUNTIFS(Таблиця1[text], "&lt;&gt;", Таблиця1[group], A3, Таблиця1[lang], "ru")</f>
        <v>11</v>
      </c>
      <c r="F3">
        <f>COUNTIFS(Таблиця1[text], "&lt;&gt;", Таблиця1[group], A3, Таблиця1[lang], "en")</f>
        <v>19</v>
      </c>
    </row>
    <row r="4" spans="1:12" x14ac:dyDescent="0.3">
      <c r="A4" t="s">
        <v>5</v>
      </c>
      <c r="B4">
        <f>COUNTIFS(Таблиця1[text], "&lt;&gt;", Таблиця1[group], A4)</f>
        <v>30</v>
      </c>
      <c r="C4">
        <f>COUNTIF(Таблиця1[group],Саммари!A4)</f>
        <v>30</v>
      </c>
      <c r="D4">
        <f t="shared" si="0"/>
        <v>0</v>
      </c>
      <c r="E4">
        <f>COUNTIFS(Таблиця1[text], "&lt;&gt;", Таблиця1[group], A4, Таблиця1[lang], "ru")</f>
        <v>21</v>
      </c>
      <c r="F4">
        <f>COUNTIFS(Таблиця1[text], "&lt;&gt;", Таблиця1[group], A4, Таблиця1[lang], "en")</f>
        <v>9</v>
      </c>
    </row>
    <row r="5" spans="1:12" x14ac:dyDescent="0.3">
      <c r="A5" t="s">
        <v>6</v>
      </c>
      <c r="B5">
        <f>COUNTIFS(Таблиця1[text], "&lt;&gt;", Таблиця1[group], A5)</f>
        <v>15</v>
      </c>
      <c r="C5">
        <f>COUNTIF(Таблиця1[group],Саммари!A5)</f>
        <v>15</v>
      </c>
      <c r="D5">
        <f t="shared" si="0"/>
        <v>0</v>
      </c>
      <c r="E5">
        <f>COUNTIFS(Таблиця1[text], "&lt;&gt;", Таблиця1[group], A5, Таблиця1[lang], "ru")</f>
        <v>15</v>
      </c>
      <c r="F5">
        <f>COUNTIFS(Таблиця1[text], "&lt;&gt;", Таблиця1[group], A5, Таблиця1[lang], "en")</f>
        <v>0</v>
      </c>
    </row>
    <row r="6" spans="1:12" x14ac:dyDescent="0.3">
      <c r="A6" t="s">
        <v>7</v>
      </c>
      <c r="B6">
        <f>COUNTIFS(Таблиця1[text], "&lt;&gt;", Таблиця1[group], A6)</f>
        <v>25</v>
      </c>
      <c r="C6">
        <f>COUNTIF(Таблиця1[group],Саммари!A6)</f>
        <v>25</v>
      </c>
      <c r="D6">
        <f t="shared" si="0"/>
        <v>0</v>
      </c>
      <c r="E6">
        <f>COUNTIFS(Таблиця1[text], "&lt;&gt;", Таблиця1[group], A6, Таблиця1[lang], "ru")</f>
        <v>15</v>
      </c>
      <c r="F6">
        <f>COUNTIFS(Таблиця1[text], "&lt;&gt;", Таблиця1[group], A6, Таблиця1[lang], "en")</f>
        <v>10</v>
      </c>
    </row>
    <row r="7" spans="1:12" x14ac:dyDescent="0.3">
      <c r="A7" t="s">
        <v>64</v>
      </c>
      <c r="B7">
        <f>COUNTIFS(Таблиця1[text], "&lt;&gt;", Таблиця1[group], A7)</f>
        <v>3</v>
      </c>
      <c r="C7">
        <f>COUNTIF(Таблиця1[group],Саммари!A7)</f>
        <v>3</v>
      </c>
      <c r="D7">
        <f t="shared" si="0"/>
        <v>0</v>
      </c>
      <c r="E7">
        <f>COUNTIFS(Таблиця1[text], "&lt;&gt;", Таблиця1[group], A7, Таблиця1[lang], "ru")</f>
        <v>2</v>
      </c>
      <c r="F7">
        <f>COUNTIFS(Таблиця1[text], "&lt;&gt;", Таблиця1[group], A7, Таблиця1[lang], "en")</f>
        <v>1</v>
      </c>
    </row>
    <row r="8" spans="1:12" x14ac:dyDescent="0.3">
      <c r="A8" t="s">
        <v>242</v>
      </c>
      <c r="B8">
        <f>COUNTIFS(Таблиця1[text], "&lt;&gt;", Таблиця1[group], A8)</f>
        <v>10</v>
      </c>
      <c r="C8">
        <f>COUNTIF(Таблиця1[group],Саммари!A8)</f>
        <v>10</v>
      </c>
      <c r="D8">
        <f t="shared" ref="D8" si="1">C8-B8</f>
        <v>0</v>
      </c>
      <c r="E8">
        <f>COUNTIFS(Таблиця1[text], "&lt;&gt;", Таблиця1[group], A8, Таблиця1[lang], "ru")</f>
        <v>10</v>
      </c>
      <c r="F8">
        <f>COUNTIFS(Таблиця1[text], "&lt;&gt;", Таблиця1[group], A8, Таблиця1[lang], "en")</f>
        <v>0</v>
      </c>
    </row>
    <row r="11" spans="1:12" x14ac:dyDescent="0.3">
      <c r="A11" t="s">
        <v>193</v>
      </c>
      <c r="B11">
        <f>COUNTIFS(Таблиця1[text], "&lt;&gt;", Таблиця1[group], A11)</f>
        <v>69</v>
      </c>
      <c r="E11">
        <f>COUNTIFS(Таблиця1[text], "&lt;&gt;", Таблиця1[group], A11, Таблиця1[lang], "ru")</f>
        <v>24</v>
      </c>
      <c r="F11">
        <f>COUNTIFS(Таблиця1[text], "&lt;&gt;", Таблиця1[group], A11, Таблиця1[lang], "en")</f>
        <v>45</v>
      </c>
    </row>
    <row r="12" spans="1:12" x14ac:dyDescent="0.3">
      <c r="A12" t="s">
        <v>194</v>
      </c>
      <c r="B12">
        <f>COUNTIFS(Таблиця1[text], "&lt;&gt;", Таблиця1[group], A12)</f>
        <v>31</v>
      </c>
      <c r="E12">
        <f>COUNTIFS(Таблиця1[text], "&lt;&gt;", Таблиця1[group], A12, Таблиця1[lang], "ru")</f>
        <v>17</v>
      </c>
      <c r="F12">
        <f>COUNTIFS(Таблиця1[text], "&lt;&gt;", Таблиця1[group], A12, Таблиця1[lang], "en")</f>
        <v>14</v>
      </c>
    </row>
    <row r="13" spans="1:12" x14ac:dyDescent="0.3">
      <c r="A13" t="s">
        <v>84</v>
      </c>
      <c r="B13">
        <f>SUM(B2:B12)</f>
        <v>233</v>
      </c>
      <c r="C13">
        <f>SUM(C2:C12)</f>
        <v>133</v>
      </c>
      <c r="D13">
        <f>SUM(D2:D12)</f>
        <v>0</v>
      </c>
      <c r="E13">
        <f>SUM(E2:E12)</f>
        <v>123</v>
      </c>
      <c r="F13">
        <f>SUM(F2:F12)</f>
        <v>110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21B5-48E1-40D6-B725-E3B4A7716B36}">
  <dimension ref="A1:D133"/>
  <sheetViews>
    <sheetView topLeftCell="A112" workbookViewId="0">
      <selection activeCell="A124" sqref="A124"/>
    </sheetView>
  </sheetViews>
  <sheetFormatPr defaultRowHeight="14.4" x14ac:dyDescent="0.3"/>
  <cols>
    <col min="1" max="1" width="37.33203125" customWidth="1"/>
  </cols>
  <sheetData>
    <row r="1" spans="1:4" x14ac:dyDescent="0.3">
      <c r="A1" t="str" cm="1">
        <f t="array" ref="A1:D133">_xlfn._xlws.FILTER(Таблиця1[], (Таблиця1[group]&lt;&gt;"A0") * (Таблиця1[group]&lt;&gt;"B0"))</f>
        <v>#Selling #Payment 
Kunga — licensed PSP 
89% approval rate | Any industry | Fast Onboarding | T+0
**Local Accounts:** EEUU 🇺🇸, EU (LUX) 🇪🇺, UK 🇬🇧, MX 🇲🇽, CO 🇨🇴, BRA (PIX) 🇧🇷 , AR 🇦🇷
SEPA / SWIFT</v>
      </c>
      <c r="B1" t="str">
        <v>A1</v>
      </c>
      <c r="C1">
        <v>1</v>
      </c>
      <c r="D1" t="str">
        <v>en</v>
      </c>
    </row>
    <row r="2" spans="1:4" x14ac:dyDescent="0.3">
      <c r="A2" t="str">
        <v>#selling #Payment  Psp for FTD!
Ftd details EU 
Retention iban solution
De iban ( local),Gb,LU,LT, viban FR</v>
      </c>
      <c r="B2" t="str">
        <v>A1</v>
      </c>
      <c r="C2">
        <v>1</v>
      </c>
      <c r="D2" t="str">
        <v>en</v>
      </c>
    </row>
    <row r="3" spans="1:4" x14ac:dyDescent="0.3">
      <c r="A3" t="str">
        <v>#selling #Payment  Psp for ftds!
90%+ approval - au, NZ, eu and more 👌
Weekly settlements , instant setup✅✅✅
DM for more information‼️</v>
      </c>
      <c r="B3" t="str">
        <v>A1</v>
      </c>
      <c r="C3">
        <v>1</v>
      </c>
      <c r="D3" t="str">
        <v>en</v>
      </c>
    </row>
    <row r="4" spans="1:4" x14ac:dyDescent="0.3">
      <c r="A4" t="str">
        <v>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v>
      </c>
      <c r="B4" t="str">
        <v>A1</v>
      </c>
      <c r="C4">
        <v>1</v>
      </c>
      <c r="D4" t="str">
        <v>ru</v>
      </c>
    </row>
    <row r="5" spans="1:4" x14ac:dyDescent="0.3">
      <c r="A5" t="str">
        <v>Всем привет!
Мы предоставляем стабильные платежные решения для турецкого рынка с минимальными чеками:
100 TL (индивидуальный запрос)
500 TL
1000 TL
Conversion Rate 92,7–94,6%.
Пишите в личные сообщения!</v>
      </c>
      <c r="B5" t="str">
        <v>A1</v>
      </c>
      <c r="C5">
        <v>1</v>
      </c>
      <c r="D5" t="str">
        <v>ru</v>
      </c>
    </row>
    <row r="6" spans="1:4" x14ac:dyDescent="0.3">
      <c r="A6" t="str">
        <v>#selling 
worldwide tier 1 psp good approve rate 
many local apms (europe asia africa latam)
instant setup</v>
      </c>
      <c r="B6" t="str">
        <v>A1</v>
      </c>
      <c r="C6">
        <v>1</v>
      </c>
      <c r="D6" t="str">
        <v>en</v>
      </c>
    </row>
    <row r="7" spans="1:4" x14ac:dyDescent="0.3">
      <c r="A7" t="str">
        <v>Hi everyone!
We are PSP RV-AXIS.
Our solutions: RUB OST (high-risk player payments | low-risk salary project) 🇷🇺 CIS 🇰🇿🇰🇬🇺🇿🇦🇿 KRW 🇰🇷 CNY 🇨🇳 AUD 🇦🇺 and others.
We are happy to discuss cooperation.</v>
      </c>
      <c r="B7" t="str">
        <v>A1</v>
      </c>
      <c r="C7">
        <v>1</v>
      </c>
      <c r="D7" t="str">
        <v>en</v>
      </c>
    </row>
    <row r="8" spans="1:4" x14ac:dyDescent="0.3">
      <c r="A8" t="str">
        <v>1. Пригласила @kamillas2p
2. Кратко о себе: 
- имя: Ирина
- должность Head of BizDev
- PSP, NDA</v>
      </c>
      <c r="B8" t="str">
        <v>A1</v>
      </c>
      <c r="C8">
        <v>1</v>
      </c>
      <c r="D8" t="str">
        <v>ru</v>
      </c>
    </row>
    <row r="9" spans="1:4" x14ac:dyDescent="0.3">
      <c r="A9" t="str">
        <v>❤️[**COLIBRIX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v>
      </c>
      <c r="B9" t="str">
        <v>A1</v>
      </c>
      <c r="C9">
        <v>1</v>
      </c>
      <c r="D9" t="str">
        <v>ru</v>
      </c>
    </row>
    <row r="10" spans="1:4" x14ac:dyDescent="0.3">
      <c r="A10" t="str">
        <v>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v>
      </c>
      <c r="B10" t="str">
        <v>A1</v>
      </c>
      <c r="C10">
        <v>1</v>
      </c>
      <c r="D10" t="str">
        <v>en</v>
      </c>
    </row>
    <row r="11" spans="1:4" x14ac:dyDescent="0.3">
      <c r="A11" t="str">
        <v>#Selling #psp
P**ayments Solutions**
API &amp; Checkout Page
back-office **dashboard**</v>
      </c>
      <c r="B11" t="str">
        <v>A1</v>
      </c>
      <c r="C11">
        <v>1</v>
      </c>
      <c r="D11" t="str">
        <v>en</v>
      </c>
    </row>
    <row r="12" spans="1:4" x14ac:dyDescent="0.3">
      <c r="A12" t="str">
        <v>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v>
      </c>
      <c r="B12" t="str">
        <v>A1</v>
      </c>
      <c r="C12">
        <v>1</v>
      </c>
      <c r="D12" t="str">
        <v>ru</v>
      </c>
    </row>
    <row r="13" spans="1:4" x14ac:dyDescent="0.3">
      <c r="A13" t="str">
        <v>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v>
      </c>
      <c r="B13" t="str">
        <v>A1</v>
      </c>
      <c r="C13">
        <v>1</v>
      </c>
      <c r="D13" t="str">
        <v>ru</v>
      </c>
    </row>
    <row r="14" spans="1:4" x14ac:dyDescent="0.3">
      <c r="A14" t="str">
        <v>#selling #Payment High risk merchant processing 
Gaming, fx , crypto , recovery 
ALL GEOS, HIGH APPROVAL✅ 
Weekly and bi weekly settlements !</v>
      </c>
      <c r="B14" t="str">
        <v>A1</v>
      </c>
      <c r="C14">
        <v>1</v>
      </c>
      <c r="D14" t="str">
        <v>en</v>
      </c>
    </row>
    <row r="15" spans="1:4" x14ac:dyDescent="0.3">
      <c r="A15" t="str">
        <v>PSP for your FTDs - Visa / MasterCard
86% acceptance rate
Weekly payouts in USDT TRC20
Available for your quick upsells up to $5000 per client.
No KYC needed.</v>
      </c>
      <c r="B15" t="str">
        <v>A1</v>
      </c>
      <c r="C15">
        <v>1</v>
      </c>
      <c r="D15" t="str">
        <v>en</v>
      </c>
    </row>
    <row r="16" spans="1:4" x14ac:dyDescent="0.3">
      <c r="A16" t="str">
        <v>#gmatch 
Всем привет,
Мы Incas - платежный провайдер со стабильными Р2Р решениями в более 10 Гео. 
У нас высокие конверсии, работаем с любыми объемами.
Буду рад встретиться и обсудить возможности сотрудничества 🤝</v>
      </c>
      <c r="B16" t="str">
        <v>A1</v>
      </c>
      <c r="C16">
        <v>1</v>
      </c>
      <c r="D16" t="str">
        <v>ru</v>
      </c>
    </row>
    <row r="17" spans="1:4" x14ac:dyDescent="0.3">
      <c r="A17" t="str">
        <v>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v>
      </c>
      <c r="B17" t="str">
        <v>A1</v>
      </c>
      <c r="C17">
        <v>1</v>
      </c>
      <c r="D17" t="str">
        <v>en</v>
      </c>
    </row>
    <row r="18" spans="1:4" x14ac:dyDescent="0.3">
      <c r="A18" t="str">
        <v>Hello Everyone, OnyxGate PSP have Korean D0 and India D1 with Intent at prices that will suprise you. Forex/Adult/Gambling accepted. If you are interested DM me.</v>
      </c>
      <c r="B18" t="str">
        <v>A1</v>
      </c>
      <c r="C18">
        <v>1</v>
      </c>
      <c r="D18" t="str">
        <v>en</v>
      </c>
    </row>
    <row r="19" spans="1:4" x14ac:dyDescent="0.3">
      <c r="A19" t="str">
        <v>Hello everyone,
OnyxGate PSP now offers Korean D0 and India D1 with Intent at highly competitive rates that may surprise you.
✅ Forex accepted
✅ Adult accepted
✅ Gambling accepted
We also cover the entire SEA region.
If you're interested or have any questions, feel free to send me a DM.</v>
      </c>
      <c r="B19" t="str">
        <v>A1</v>
      </c>
      <c r="C19">
        <v>1</v>
      </c>
      <c r="D19" t="str">
        <v>en</v>
      </c>
    </row>
    <row r="20" spans="1:4" x14ac:dyDescent="0.3">
      <c r="A20" t="str">
        <v>#Gmatch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v>
      </c>
      <c r="B20" t="str">
        <v>A1</v>
      </c>
      <c r="C20">
        <v>1</v>
      </c>
      <c r="D20" t="str">
        <v>ru</v>
      </c>
    </row>
    <row r="21" spans="1:4" x14ac:dyDescent="0.3">
      <c r="A21" t="str">
        <v>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v>
      </c>
      <c r="B21" t="str">
        <v>A2</v>
      </c>
      <c r="C21">
        <v>1</v>
      </c>
      <c r="D21" t="str">
        <v>ru</v>
      </c>
    </row>
    <row r="22" spans="1:4" x14ac:dyDescent="0.3">
      <c r="A22" t="str">
        <v>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v>
      </c>
      <c r="B22" t="str">
        <v>A2</v>
      </c>
      <c r="C22">
        <v>1</v>
      </c>
      <c r="D22" t="str">
        <v>en</v>
      </c>
    </row>
    <row r="23" spans="1:4" x14ac:dyDescent="0.3">
      <c r="A23" t="str">
        <v>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v>
      </c>
      <c r="B23" t="str">
        <v>A2</v>
      </c>
      <c r="C23">
        <v>1</v>
      </c>
      <c r="D23" t="str">
        <v>en</v>
      </c>
    </row>
    <row r="24" spans="1:4" x14ac:dyDescent="0.3">
      <c r="A24" t="str">
        <v>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v>
      </c>
      <c r="B24" t="str">
        <v>A2</v>
      </c>
      <c r="C24">
        <v>1</v>
      </c>
      <c r="D24" t="str">
        <v>en</v>
      </c>
    </row>
    <row r="25" spans="1:4" x14ac:dyDescent="0.3">
      <c r="A25" t="str">
        <v>Scaling Gam/Bet but hitting a wall with constant declines and payment drops? Stop fighting for every approval.
​BlackStripe Group has you covered:
- ​Global Reach: EU + international corridors, fully loaded with Google &amp; Apple Pay.
- ​Unmatched Liquidity: Daily settlements on a T+3 cycle + real-time push-to-card payouts.
- ​Tailored Pricing: Choose what fits your margins best IC++ or blended models.
- ​Bulletproof Infrastructure: Advanced 3DS, automated dispute management, and a 99.99% SLA uptime.
​Enjoy 91%+ approval rates on direct Visa/MC acquiring. Get a commercial offer in 1 hour, pre-approval the same day, and your MID live within 48 hours.
​📍 DM me directly.</v>
      </c>
      <c r="B25" t="str">
        <v>A2</v>
      </c>
      <c r="C25">
        <v>1</v>
      </c>
      <c r="D25" t="str">
        <v>en</v>
      </c>
    </row>
    <row r="26" spans="1:4" x14ac:dyDescent="0.3">
      <c r="A26" t="str">
        <v>**С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v>
      </c>
      <c r="B26" t="str">
        <v>A2</v>
      </c>
      <c r="C26">
        <v>1</v>
      </c>
      <c r="D26" t="str">
        <v>ru</v>
      </c>
    </row>
    <row r="27" spans="1:4" x14ac:dyDescent="0.3">
      <c r="A27" t="str">
        <v>💸 Imagine never paying a percentage to PSPs or banks again.
🚀 Following the huge success of our personal accounts, business accounts are now available!
💳 Stripe  
🏦 Revolut  
💰 Sumup  
🌍 Wise  
✈️ Airwallex  
💵 Payoneer  
✨ Vivid  
🏛 Mercury  
➕ …and many additional options are available upon request, including country selection.
✅ Fully verified  
✅ Fully yours  
🆕 Fresh unused accounts  
🔐 Under your control from day one
💯 One single payment.  
❌ No percentages  
❌ No more rolling reserve  
❌ No more minimum settlement amount  
❌ No more money getting “stuck”
📊 If you are paying around 20% to providers, then sending 100K meant 20K gone — just in commissions.
📩 DM</v>
      </c>
      <c r="B27" t="str">
        <v>A2</v>
      </c>
      <c r="C27">
        <v>1</v>
      </c>
      <c r="D27" t="str">
        <v>en</v>
      </c>
    </row>
    <row r="28" spans="1:4" x14ac:dyDescent="0.3">
      <c r="A28" t="str">
        <v>Running a high-risk business and tired of being turned down?
BlackStripe Group: payment infrastructure built for verticals others refuse.
→ 91%+ approval rate
→ MID live in 48h
→ Real-time push-to-card payouts
→ EU + Global, Visa/MC, Apple/Google Pay
→ IC++ and blended pricing
→ T+3 settlements, 99.99% SLA
Gam / Bet / Forex / Crypto / Adult / Travel and more.
Same-day pre-approval. Commercial offer within 1 hour.
📍 DM us.</v>
      </c>
      <c r="B28" t="str">
        <v>A2</v>
      </c>
      <c r="C28">
        <v>1</v>
      </c>
      <c r="D28" t="str">
        <v>en</v>
      </c>
    </row>
    <row r="29" spans="1:4" x14ac:dyDescent="0.3">
      <c r="A29" t="str">
        <v>#Selling #Payment Solution
All EU, flexible comission
Without limits. 100.000€ per shot. Settlement t+0.
Forex/auto/igaming.
High-risk processing</v>
      </c>
      <c r="B29" t="str">
        <v>A2</v>
      </c>
      <c r="C29">
        <v>1</v>
      </c>
      <c r="D29" t="str">
        <v>en</v>
      </c>
    </row>
    <row r="30" spans="1:4" x14ac:dyDescent="0.3">
      <c r="A30" t="str">
        <v>🇧🇷Payments – PIX - TED - BOLETO
✔️Igaming/Gambling/Forex/Adult
🥇Robust, reliable and triple redundancy
💵Settlement in USDT
⚠️Supports Offshore &amp; Brazilian licenses
🙂DM me: @BizDev_Globalcoin</v>
      </c>
      <c r="B30" t="str">
        <v>A2</v>
      </c>
      <c r="C30">
        <v>1</v>
      </c>
      <c r="D30" t="str">
        <v>en</v>
      </c>
    </row>
    <row r="31" spans="1:4" x14ac:dyDescent="0.3">
      <c r="A31" t="str">
        <v>🔥GalePay — India Premium Payment Gateway
⚡️ High success rates
🔒 Stable &amp; secure routing
💰 T+0 Settlement
🤑 Extremely High Commission | Agents Welcome!
iGaming &amp; Forex ready.
DM now.</v>
      </c>
      <c r="B31" t="str">
        <v>A2</v>
      </c>
      <c r="C31">
        <v>1</v>
      </c>
      <c r="D31" t="str">
        <v>en</v>
      </c>
    </row>
    <row r="32" spans="1:4" x14ac:dyDescent="0.3">
      <c r="A32" t="str">
        <v>🌍 **URGENT: Need STABLE Payment Rails?** 🌍
💳 **We Cover Top Geos:**  
🇬🇧 UK | 🇩🇪 DE | 🇮🇹 Italy | 🇪🇸 Spain | 🇱🇹 Lithuania | 🇵🇱 Poland | 🇳🇱 Netherlands | 🇩🇰 Denmark | 🇨🇭 Switzerland | 🇫🇷 France | 🇱🇺 Luxembourg | 🇦🇪 UAE | 🇦🇺 Australia &amp; More
⚡ **Instant SEPA + Lightning-Fast Settlements**  
💼 **Perfect for FX &amp; Crypto Verticals**  
📞 **Dedicated Support**  
🚀 Stop losing deposits - upgrade your payment flow TODAY!  
📲 **DM me NOW** let's get you onboarded fast! 💬</v>
      </c>
      <c r="B32" t="str">
        <v>A2</v>
      </c>
      <c r="C32">
        <v>1</v>
      </c>
      <c r="D32" t="str">
        <v>en</v>
      </c>
    </row>
    <row r="33" spans="1:4" x14ac:dyDescent="0.3">
      <c r="A33" t="str">
        <v>**🚨 Brokers — tired of PSPs burning your leads? 🚨
❌ Low approval rates
❌ Endless declines killing your ROI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v>
      </c>
      <c r="B33" t="str">
        <v>A2</v>
      </c>
      <c r="C33">
        <v>1</v>
      </c>
      <c r="D33" t="str">
        <v>en</v>
      </c>
    </row>
    <row r="34" spans="1:4" x14ac:dyDescent="0.3">
      <c r="A34" t="str">
        <v>Работаю по EU картам, апрув стабильно 71%, роллинг 8%. Пишите в лс, обсудим объёмы</v>
      </c>
      <c r="B34" t="str">
        <v>A2</v>
      </c>
      <c r="C34">
        <v>1</v>
      </c>
      <c r="D34" t="str">
        <v>ru</v>
      </c>
    </row>
    <row r="35" spans="1:4" x14ac:dyDescent="0.3">
      <c r="A35" t="str">
        <v>Покрыт по UA, PL, CZ, DE, RO. Карты + альтернативные методы. Онбординг от 3 дней. В ЛС.</v>
      </c>
      <c r="B35" t="str">
        <v>A2</v>
      </c>
      <c r="C35">
        <v>1</v>
      </c>
      <c r="D35" t="str">
        <v>ru</v>
      </c>
    </row>
    <row r="36" spans="1:4" x14ac:dyDescent="0.3">
      <c r="A36" t="str">
        <v>MCC 7995 / EU / Visa, MC / апрув 74% / роллинг 10% / сетлмент еженедельный / @contact</v>
      </c>
      <c r="B36" t="str">
        <v>A2</v>
      </c>
      <c r="C36">
        <v>1</v>
      </c>
      <c r="D36" t="str">
        <v>ru</v>
      </c>
    </row>
    <row r="37" spans="1:4" x14ac:dyDescent="0.3">
      <c r="A37" t="str">
        <v>Занимаюсь процессингом для iGaming и adult, закрываю EU/UK/LATAM. Быстрый онбординг, напишите</v>
      </c>
      <c r="B37" t="str">
        <v>A2</v>
      </c>
      <c r="C37">
        <v>1</v>
      </c>
      <c r="D37" t="str">
        <v>ru</v>
      </c>
    </row>
    <row r="38" spans="1:4" x14ac:dyDescent="0.3">
      <c r="A38" t="str">
        <v>Можем закрыть EU high-risk, работаем с iGaming и форексом. Роллинг от 5%. В лс.</v>
      </c>
      <c r="B38" t="str">
        <v>A2</v>
      </c>
      <c r="C38">
        <v>1</v>
      </c>
      <c r="D38" t="str">
        <v>ru</v>
      </c>
    </row>
    <row r="39" spans="1:4" x14ac:dyDescent="0.3">
      <c r="A39" t="str">
        <v>Закрываем EU iGaming, апрув 72-78%, роллинг 5%, сетлмент раз в неделю. Пишите.</v>
      </c>
      <c r="B39" t="str">
        <v>A2</v>
      </c>
      <c r="C39">
        <v>1</v>
      </c>
      <c r="D39" t="str">
        <v>ru</v>
      </c>
    </row>
    <row r="40" spans="1:4" x14ac:dyDescent="0.3">
      <c r="A40" t="str">
        <v>Высокий риск | EU, UK, LATAM | Visa/MC/AMEX | апрув 75%+ | защита от чарджбеков | @handle</v>
      </c>
      <c r="B40" t="str">
        <v>A2</v>
      </c>
      <c r="C40">
        <v>1</v>
      </c>
      <c r="D40" t="str">
        <v>ru</v>
      </c>
    </row>
    <row r="41" spans="1:4" x14ac:dyDescent="0.3">
      <c r="A41" t="str">
        <v>Процессим гемблинг, форекс, adult. Без скрытых комиссий, онбординг за 5 дней. Стучите в лс</v>
      </c>
      <c r="B41" t="str">
        <v>A2</v>
      </c>
      <c r="C41">
        <v>1</v>
      </c>
      <c r="D41" t="str">
        <v>ru</v>
      </c>
    </row>
    <row r="42" spans="1:4" x14ac:dyDescent="0.3">
      <c r="A42" t="str">
        <v>[context] Мы PSP, специализируемся на высоком риске, EU и LATAM гео
Готов обсудить ваш трафик и условия подключения</v>
      </c>
      <c r="B42" t="str">
        <v>A2</v>
      </c>
      <c r="C42">
        <v>1</v>
      </c>
      <c r="D42" t="str">
        <v>ru</v>
      </c>
    </row>
    <row r="43" spans="1:4" x14ac:dyDescent="0.3">
      <c r="A43" t="str">
        <v>Processing high-risk merchants in EU and UK, 72% approval rate, DM for rates</v>
      </c>
      <c r="B43" t="str">
        <v>A2</v>
      </c>
      <c r="C43">
        <v>1</v>
      </c>
      <c r="D43" t="str">
        <v>en</v>
      </c>
    </row>
    <row r="44" spans="1:4" x14ac:dyDescent="0.3">
      <c r="A44" t="str">
        <v>High-risk acquiring | EU/LATAM | Visa/MC | 75% approval | 10% rolling reserve | T+7 settlement | PM @contact</v>
      </c>
      <c r="B44" t="str">
        <v>A2</v>
      </c>
      <c r="C44">
        <v>1</v>
      </c>
      <c r="D44" t="str">
        <v>en</v>
      </c>
    </row>
    <row r="45" spans="1:4" x14ac:dyDescent="0.3">
      <c r="A45" t="str">
        <v>Covering iGaming and adult verticals across EU and UK, onboarding within 5 days, reach out</v>
      </c>
      <c r="B45" t="str">
        <v>A2</v>
      </c>
      <c r="C45">
        <v>1</v>
      </c>
      <c r="D45" t="str">
        <v>en</v>
      </c>
    </row>
    <row r="46" spans="1:4" x14ac:dyDescent="0.3">
      <c r="A46" t="str">
        <v>Can process MCC 7995 and 7993 across EU, custom routing available, reach out to discuss volumes</v>
      </c>
      <c r="B46" t="str">
        <v>A2</v>
      </c>
      <c r="C46">
        <v>1</v>
      </c>
      <c r="D46" t="str">
        <v>en</v>
      </c>
    </row>
    <row r="47" spans="1:4" x14ac:dyDescent="0.3">
      <c r="A47" t="str">
        <v>Working with gambling and forex merchants across EU and LATAM, stable approval, DM for details</v>
      </c>
      <c r="B47" t="str">
        <v>A2</v>
      </c>
      <c r="C47">
        <v>1</v>
      </c>
      <c r="D47" t="str">
        <v>en</v>
      </c>
    </row>
    <row r="48" spans="1:4" x14ac:dyDescent="0.3">
      <c r="A48" t="str">
        <v>iGaming processing | EU/UK/LATAM | Visa MC AMEX | 74% approval | 5 day onboarding | contact via DM</v>
      </c>
      <c r="B48" t="str">
        <v>A2</v>
      </c>
      <c r="C48">
        <v>1</v>
      </c>
      <c r="D48" t="str">
        <v>en</v>
      </c>
    </row>
    <row r="49" spans="1:4" x14ac:dyDescent="0.3">
      <c r="A49" t="str">
        <v>Covered on EU, US, LATAM. Cards and crypto. Chargeback protection. Weekly settlement. DM.</v>
      </c>
      <c r="B49" t="str">
        <v>A2</v>
      </c>
      <c r="C49">
        <v>1</v>
      </c>
      <c r="D49" t="str">
        <v>en</v>
      </c>
    </row>
    <row r="50" spans="1:4" x14ac:dyDescent="0.3">
      <c r="A50" t="str">
        <v>Able to handle high-risk MCC codes, multi-currency settlement, custom cascade — get in touch to discuss volumes</v>
      </c>
      <c r="B50" t="str">
        <v>A2</v>
      </c>
      <c r="C50">
        <v>1</v>
      </c>
      <c r="D50" t="str">
        <v>en</v>
      </c>
    </row>
    <row r="51" spans="1:4" x14ac:dyDescent="0.3">
      <c r="A51" t="str">
        <v>Нужна приемка РФ 🇷🇺
КАССЫ 
ЛОКАЛ 
Чардж от недели 
% хороший 
Работа строго под депозит
Связь в лс 
Канал с заявками в БИО</v>
      </c>
      <c r="B51" t="str">
        <v>B1</v>
      </c>
      <c r="C51">
        <v>0</v>
      </c>
      <c r="D51" t="str">
        <v>ru</v>
      </c>
    </row>
    <row r="52" spans="1:4" x14ac:dyDescent="0.3">
      <c r="A52" t="str">
        <v>Нужна команда по Куарам РФ 🇷🇺
🤩 Приоритет : TRAVEL 
Но,также рассмотрим предложения по другим QR
⚫️Объем дадим 
🚗Деп +++ 
Связь в лс 
Канал с заявками в БИО</v>
      </c>
      <c r="B52" t="str">
        <v>B1</v>
      </c>
      <c r="C52">
        <v>0</v>
      </c>
      <c r="D52" t="str">
        <v>ru</v>
      </c>
    </row>
    <row r="53" spans="1:4" x14ac:dyDescent="0.3">
      <c r="A53" t="str">
        <v>Hello, everyone - can someone recommend me a good wire solution they're working with? I'm looking for BE, DE and CH</v>
      </c>
      <c r="B53" t="str">
        <v>B1</v>
      </c>
      <c r="C53">
        <v>0</v>
      </c>
      <c r="D53" t="str">
        <v>en</v>
      </c>
    </row>
    <row r="54" spans="1:4" x14ac:dyDescent="0.3">
      <c r="A54" t="str">
        <v>Hey 
DB looking for strong  ZA en
Push me in DM</v>
      </c>
      <c r="B54" t="str">
        <v>B1</v>
      </c>
      <c r="C54">
        <v>0</v>
      </c>
      <c r="D54" t="str">
        <v>en</v>
      </c>
    </row>
    <row r="55" spans="1:4" x14ac:dyDescent="0.3">
      <c r="A55" t="str">
        <v>Ищу приемку по Чехии 🇨🇿
Деп 5к$ 
Объем 1кк крон в сутки
Трафик кц
@bigbobbyyy</v>
      </c>
      <c r="B55" t="str">
        <v>B1</v>
      </c>
      <c r="C55">
        <v>0</v>
      </c>
      <c r="D55" t="str">
        <v>ru</v>
      </c>
    </row>
    <row r="56" spans="1:4" x14ac:dyDescent="0.3">
      <c r="A56" t="str">
        <v>Привет
У кого есть решения на Боливию напишите в лс пожалуйста</v>
      </c>
      <c r="B56" t="str">
        <v>B1</v>
      </c>
      <c r="C56">
        <v>0</v>
      </c>
      <c r="D56" t="str">
        <v>ru</v>
      </c>
    </row>
    <row r="57" spans="1:4" x14ac:dyDescent="0.3">
      <c r="A57" t="str">
        <v>Всем привет! Если у кого то AGpay есть в евро по UK  FTD\STD  - напишите в личку пж</v>
      </c>
      <c r="B57" t="str">
        <v>B1</v>
      </c>
      <c r="C57">
        <v>0</v>
      </c>
      <c r="D57" t="str">
        <v>ru</v>
      </c>
    </row>
    <row r="58" spans="1:4" x14ac:dyDescent="0.3">
      <c r="A58" t="str">
        <v>Hello team 👋🏻 
We are looking for solutions
In : 
Chile 🇨🇱 
Brazil 🇧🇷 (boleto , pix ) 
Local accounts, high limits per transaction.  C2b 
Dm me 💻</v>
      </c>
      <c r="B58" t="str">
        <v>B1</v>
      </c>
      <c r="C58">
        <v>0</v>
      </c>
      <c r="D58" t="str">
        <v>en</v>
      </c>
    </row>
    <row r="59" spans="1:4" x14ac:dyDescent="0.3">
      <c r="A59" t="str">
        <v>Привет
У кого есть решения на Колумбию и Уругвай напишите в лс пожалуйста</v>
      </c>
      <c r="B59" t="str">
        <v>B1</v>
      </c>
      <c r="C59">
        <v>0</v>
      </c>
      <c r="D59" t="str">
        <v>ru</v>
      </c>
    </row>
    <row r="60" spans="1:4" x14ac:dyDescent="0.3">
      <c r="A60" t="str">
        <v>Коллеги, всем прекрасного понедельника!
Поделитесь, пожалуйста, офферами в лс на РУ с трансграном на Вьетнам через QR.</v>
      </c>
      <c r="B60" t="str">
        <v>B1</v>
      </c>
      <c r="C60">
        <v>0</v>
      </c>
      <c r="D60" t="str">
        <v>ru</v>
      </c>
    </row>
    <row r="61" spans="1:4" x14ac:dyDescent="0.3">
      <c r="A61" t="str">
        <v>Коллеги, всем доброго дня!
Есть ли у кого-то рабочие решения на приём еком Казахстан (первчика FTD и вторчика TD)?</v>
      </c>
      <c r="B61" t="str">
        <v>B1</v>
      </c>
      <c r="C61">
        <v>0</v>
      </c>
      <c r="D61" t="str">
        <v>ru</v>
      </c>
    </row>
    <row r="62" spans="1:4" x14ac:dyDescent="0.3">
      <c r="A62" t="str">
        <v>Коллеги, привет! Подскажите, пожалуйста, у кого есть хороший опыт по карточному покрытию на FD (SD само собой)?
В первую очередь интересуют Германия, Австрия, Италия и Бельгия, далее остальная Европа. Буду благодарен за рекомендации, отзывы или контакты, если есть проверенные варианты в лс.</v>
      </c>
      <c r="B62" t="str">
        <v>B1</v>
      </c>
      <c r="C62">
        <v>0</v>
      </c>
      <c r="D62" t="str">
        <v>ru</v>
      </c>
    </row>
    <row r="63" spans="1:4" x14ac:dyDescent="0.3">
      <c r="A63" t="str">
        <v>Коллеги, всем изобилия! 
Подскажите проверенные решения на Грузию?</v>
      </c>
      <c r="B63" t="str">
        <v>B1</v>
      </c>
      <c r="C63">
        <v>0</v>
      </c>
      <c r="D63" t="str">
        <v>ru</v>
      </c>
    </row>
    <row r="64" spans="1:4" x14ac:dyDescent="0.3">
      <c r="A64" t="str">
        <v>Здравствуйте!
Рассмотрю офферы на DE, CH, AT
CC, AGpay, Bank Transfer, Paysafecard, EPS, Skrill, Neteller, Rapid, Revolut
Оператор
Пишите в лс, пожалуйста)</v>
      </c>
      <c r="B64" t="str">
        <v>B1</v>
      </c>
      <c r="C64">
        <v>0</v>
      </c>
      <c r="D64" t="str">
        <v>ru</v>
      </c>
    </row>
    <row r="65" spans="1:4" x14ac:dyDescent="0.3">
      <c r="A65" t="str">
        <v>Нужна приемка Грузия 🇬🇪
Трансгран с другой страны 
Связь в лс 
Канал с заявками в БИО</v>
      </c>
      <c r="B65" t="str">
        <v>B1</v>
      </c>
      <c r="C65">
        <v>0</v>
      </c>
      <c r="D65" t="str">
        <v>ru</v>
      </c>
    </row>
    <row r="66" spans="1:4" x14ac:dyDescent="0.3">
      <c r="A66" t="str">
        <v>Всем привет!
Коллеги, подскажите, кто имеет опыт работы с методом PlayID?
У кого можно взять?</v>
      </c>
      <c r="B66" t="str">
        <v>B1</v>
      </c>
      <c r="C66">
        <v>0</v>
      </c>
      <c r="D66" t="str">
        <v>ru</v>
      </c>
    </row>
    <row r="67" spans="1:4" x14ac:dyDescent="0.3">
      <c r="A67" t="str">
        <v>Hi everyone,
I’m looking for a reliable **PSP / payment solution for Israel 🇮🇱**.
Main requirements:
• 💳 Local card acquiring / card solution
• 🍎 Apple Pay
• 🤖 Google Pay
• 🇮🇱 Local Israeli payment methods
• Support for both **FTD &amp; STD**
• Good approval rates and stable processing</v>
      </c>
      <c r="B67" t="str">
        <v>B1</v>
      </c>
      <c r="C67">
        <v>0</v>
      </c>
      <c r="D67" t="str">
        <v>en</v>
      </c>
    </row>
    <row r="68" spans="1:4" x14ac:dyDescent="0.3">
      <c r="A68" t="str">
        <v>Всем привет
Ищем BinancePay</v>
      </c>
      <c r="B68" t="str">
        <v>B1</v>
      </c>
      <c r="C68">
        <v>0</v>
      </c>
      <c r="D68" t="str">
        <v>ru</v>
      </c>
    </row>
    <row r="69" spans="1:4" x14ac:dyDescent="0.3">
      <c r="A69" t="str">
        <v>UK EU P2P &amp; P2C and GCC P2C bank providers for a very large entity!
Advanced deposit ONLY 
-🇮🇳RTGS bank provider in India!
T+0 ONLY, as much volume as you can handle.
High limits required.
Text this Octopus with your offers 🐙</v>
      </c>
      <c r="B69" t="str">
        <v>B1</v>
      </c>
      <c r="C69">
        <v>0</v>
      </c>
      <c r="D69" t="str">
        <v>en</v>
      </c>
    </row>
    <row r="70" spans="1:4" x14ac:dyDescent="0.3">
      <c r="A70" t="str">
        <v>Если у вас есть возможность предоставить POS-терминалы с поддержкой NFC и решения SoftPOS (например, NGenius), срочно напишите мне в личные сообщения. Я работаю ежедневно и готов предоставить подтверждение своей деятельности.</v>
      </c>
      <c r="B70" t="str">
        <v>B1</v>
      </c>
      <c r="C70">
        <v>0</v>
      </c>
      <c r="D70" t="str">
        <v>ru</v>
      </c>
    </row>
    <row r="71" spans="1:4" x14ac:dyDescent="0.3">
      <c r="A71" t="str">
        <v>Ищем платежных провайдеров для iGaming по GEO:  India,  Nigeria,  South Africa
 Brazil,  Mexico,  Argentina,  Colombia,  Indonesia,  Philippines.
Если работаете с этими GEO  пишите в ЛС, обсудим сотрудничество.</v>
      </c>
      <c r="B71" t="str">
        <v>B1</v>
      </c>
      <c r="C71">
        <v>0</v>
      </c>
      <c r="D71" t="str">
        <v>ru</v>
      </c>
    </row>
    <row r="72" spans="1:4" x14ac:dyDescent="0.3">
      <c r="A72" t="str">
        <v>Всем привет
У кого есть JCB, Neteller, Skrill  Trustly, POLi - напишите, плиз, в личку🙏🤝</v>
      </c>
      <c r="B72" t="str">
        <v>B1</v>
      </c>
      <c r="C72">
        <v>0</v>
      </c>
      <c r="D72" t="str">
        <v>ru</v>
      </c>
    </row>
    <row r="73" spans="1:4" x14ac:dyDescent="0.3">
      <c r="A73" t="str">
        <v>Всем привет!
Фарм-партнёрка (дженерики), ищем процессинг.
ГЕО: EU + US · Visa/MC · Apple/Google Pay · первичка+вторичка, низкий CB.
Есть что заводить. Пишите в ЛС 🤝 @PILLTOP_Partners</v>
      </c>
      <c r="B73" t="str">
        <v>B1</v>
      </c>
      <c r="C73">
        <v>0</v>
      </c>
      <c r="D73" t="str">
        <v>ru</v>
      </c>
    </row>
    <row r="74" spans="1:4" x14ac:dyDescent="0.3">
      <c r="A74" t="str">
        <v>Good afternoon, everyone! We're looking for a solution for Korea. Please send your proposals via private message.</v>
      </c>
      <c r="B74" t="str">
        <v>B1</v>
      </c>
      <c r="C74">
        <v>0</v>
      </c>
      <c r="D74" t="str">
        <v>en</v>
      </c>
    </row>
    <row r="75" spans="1:4" x14ac:dyDescent="0.3">
      <c r="A75" t="str">
        <v>I need payment gateway for inr, pkr and bdt</v>
      </c>
      <c r="B75" t="str">
        <v>B1</v>
      </c>
      <c r="C75">
        <v>0</v>
      </c>
      <c r="D75" t="str">
        <v>en</v>
      </c>
    </row>
    <row r="76" spans="1:4" x14ac:dyDescent="0.3">
      <c r="A76" t="str">
        <v>Need a indian payment gateway can anyone connect?</v>
      </c>
      <c r="B76" t="str">
        <v>B1</v>
      </c>
      <c r="C76">
        <v>0</v>
      </c>
      <c r="D76" t="str">
        <v>en</v>
      </c>
    </row>
    <row r="77" spans="1:4" x14ac:dyDescent="0.3">
      <c r="A77" t="str">
        <v>Привет! есть кто работает на схемам гео TR ?</v>
      </c>
      <c r="B77" t="str">
        <v>B1</v>
      </c>
      <c r="C77">
        <v>0</v>
      </c>
      <c r="D77" t="str">
        <v>ru</v>
      </c>
    </row>
    <row r="78" spans="1:4" x14ac:dyDescent="0.3">
      <c r="A78" t="str">
        <v>#buying UK EU P2P &amp; P2C and GCC P2C bank providers for a very large entity!
Advanced deposit ONLY 
Text this Octopus for details!</v>
      </c>
      <c r="B78" t="str">
        <v>B1</v>
      </c>
      <c r="C78">
        <v>0</v>
      </c>
      <c r="D78" t="str">
        <v>en</v>
      </c>
    </row>
    <row r="79" spans="1:4" x14ac:dyDescent="0.3">
      <c r="A79" t="str">
        <v>Коллеги, всем доброго вечера! Ищу решения для Европы, UK
А также для Австралии, Канады, Новой Зеландии интересны решения в локальных валютах</v>
      </c>
      <c r="B79" t="str">
        <v>B1</v>
      </c>
      <c r="C79">
        <v>0</v>
      </c>
      <c r="D79" t="str">
        <v>ru</v>
      </c>
    </row>
    <row r="80" spans="1:4" x14ac:dyDescent="0.3">
      <c r="A80" t="str">
        <v>Нужна приемка РФ 🇷🇺
КАССЫ 
ЛОКАЛ 
Чардж от недели 
% хороший 
Работа строго под депозит
Связь в лс 
Канал с заявками в БИО</v>
      </c>
      <c r="B80" t="str">
        <v>B1</v>
      </c>
      <c r="C80">
        <v>0</v>
      </c>
      <c r="D80" t="str">
        <v>ru</v>
      </c>
    </row>
    <row r="81" spans="1:4" x14ac:dyDescent="0.3">
      <c r="A81" t="str">
        <v>И снова здравствуйте!
Коллеги, порекомендуйте, пожалуйста, хорошего psp manager, чтобы был силён уже в роутинг, каскад и так далее. Операционная часть. Может быть, кто-нибудь в поисках.
Спасибо 🙏</v>
      </c>
      <c r="B81" t="str">
        <v>B2</v>
      </c>
      <c r="C81">
        <v>0</v>
      </c>
      <c r="D81" t="str">
        <v>ru</v>
      </c>
    </row>
    <row r="82" spans="1:4" x14ac:dyDescent="0.3">
      <c r="A82" t="str">
        <v>🇵🇱**BLIK идёт в ЕС - что это значит для гемблинг-операторов**
Польская платёжная система BLIK объявила о полноценной экспансии на рынок Евросоюза. Румыния и Словакия уже запущены, следующие - Австрия, Чехия, Венгрия. CEO позиционирует BLIK как прямого конкурента Apple Pay и Google Pay, инструмент «европейского платёжного суверенитета».
Для отрасли это важнее, чем кажется на первый взгляд.
📊**BLIK по итогам 2025 года**
➡️2,9 млрд транзакций
➡️€105 млрд оборот
➡️20,7 млн активных пользователей
🎯**Почему это интересно для high-risk / gambling**
BLIK - это банковский код из 6 цифр, без карты и без данных. Платёж идёт напрямую с банковского счёта через мобильное приложение банка. Никакого BIN, никакого card scheme - а значит, классических причин для decline со стороны Visa/MC просто нет.
**Что даёт оператору:**
➡️Высокий approval rate - нет chargeback-риска по карточной схеме, нет MCC-блокировок 
➡️Instant settlement - деньги приходят мгновенно, депозит игрока зачисляется без задержек 
➡️Низкий fraud - авторизация через банковское приложение = двухфакторная аутентификация по умолчанию 
➡️Нет chargebacks в классическом понимании - ACH/bank-transfer модель, споры решаются иначе
⚠️**Но есть нюанс**
BLIK работает только через банки-партнёры. Экспансия - это интеграция с банками каждой страны по отдельности плюс регуляторное одобрение. В Румынии пока конкурируют с национальной системой Ropay. Таймлайн на каждый рынок - от нескольких месяцев до 1,5 лет.
Стратегия двойного входа: прямые партнёрства с банками (Erste Bank - акционер, присутствует в AT, CZ, HU, SK) + альянс с EPI/Wero для покрытия Западной Европы.
Для PSP и платёжных агрегаторов в нише - это сигнал добавлять BLIK в роадмап. Сейчас рынок узкий, но он формируется. Те, кто зайдёт первыми, получат конкурентное преимущество перед мейнстримными игроками.
💡Ждём IPO BLIK - компания рассматривает его как источник капитала для агрессивной экспансии. Следим.
✔[High-Risk PaymentsHub — присоединяйся](https://t.me/paymentshubhighrisk)</v>
      </c>
      <c r="B82" t="str">
        <v>B2</v>
      </c>
      <c r="C82">
        <v>0</v>
      </c>
      <c r="D82" t="str">
        <v>ru</v>
      </c>
    </row>
    <row r="83" spans="1:4" x14ac:dyDescent="0.3">
      <c r="A83" t="str">
        <v>Я SEO-консультант с опытом 6+ лет, помогаю iGaming-брендам, казино, беттинг-проектам и аффилиат-бизнесам расти за счёт органического трафика.
Что я делаю:
📈 SEO для iGaming-брендов, аффилиат-сайтов и контентных проектов
🔍 Органический трафик из классических поисковых систем (Google, Bing) и AI-платформ (ChatGPT, Perplexity, Google AI Overviews)
🔗 Линкбилдинг, контент-стратегия и построение тематического авторитета
📊 Технический SEO, аудит сайтов и оптимизация под конверсию
Неважно, что у вас — аффилиат-программа, обзорный сайт, казино-бренд или беттинг-платформа — помогу привлекать игроков и партнёров без полной зависимости от платного трафика.
📩 Пишите в личку — с удовольствием встретимся на одном из сайд-ивентов или во время експо в Ереване! @zorimarkzoryan
===============================================
I'm an SEO consultant with 6+ years of experience, helping iGaming, casino, betting, and affiliate businesses grow through organic traffic.
What I do:
📈 SEO for iGaming brands, affiliate sites &amp; content publishers
🔍 Organic traffic from classic search engines (Google, Bing) and AI platforms (ChatGPT, Perplexity, Google AI Overviews)
🔗 Link building, content strategy &amp; topical authority
📊 Technical SEO, site audits &amp; conversion-focused optimization
Whether you run an affiliate program, a review site, a casino brand, or a betting platform — I can help you attract players and partners without relying solely on paid traffic.
📩 DM me — happy to meet at any of the side events or during the expo! @zorimarkzoryan</v>
      </c>
      <c r="B83" t="str">
        <v>B2</v>
      </c>
      <c r="C83">
        <v>0</v>
      </c>
      <c r="D83" t="str">
        <v>ru</v>
      </c>
    </row>
    <row r="84" spans="1:4" x14ac:dyDescent="0.3">
      <c r="A84" t="str">
        <v>Всем привет. 
Мы прямой Nutra рекл по Европе, Латам и СНГ. Буду рада пообщаться на конфе и сходу выдать офферы на Европу с гарантом апрува 47% от тотала. Пишите в лс и давайте встречаться на BroConf в Сочи♥️</v>
      </c>
      <c r="B84" t="str">
        <v>B2</v>
      </c>
      <c r="C84">
        <v>0</v>
      </c>
      <c r="D84" t="str">
        <v>ru</v>
      </c>
    </row>
    <row r="85" spans="1:4" x14ac:dyDescent="0.3">
      <c r="A85" t="str">
        <v>**OLEG SHESTAKOV на G GATE CONF ****⭐️****
**
Что происходит, когда классическое SEO встречается с эпохой AI?
Об этом на сцене G GATE CONF расскажет [**Олег Шестаков**](https://t.me/oshestakovdigital)** — Founder Black Flag SEO**, специалист по продвижению в конкурентных и high-risk нишах с опытом в SEO с 2008 года и один из сторонников AI-автоматизации процессов.
**🪙**** Тема выступления:
«Черное SEO в эпоху AI: как манипулировать выдачей Google и нейросетей в 2026 году»**
В своем докладе Олег покажет, как изменились правила игры после появления LLM и почему борьба за выдачу теперь происходит не только в поисковиках, но и внутри нейросетей.
**На сцене обсудим:**
— как получать виральный трафик и быстро продвигать проекты в высококонкурентных нишах
— почему Bing становится все более интересной площадкой для SEO
— как устроен консенсус современных LLM и можно ли на него влиять
— что такое Fake Ratings и как бренды пытаются попасть в рекомендации нейросетей
— каким образом LLM выбирают источники и контент для своих ответов
— реальные примеры манипуляций данными, которые попадают в поле зрения AI-моделей
— как будет выглядеть борьба за внимание пользователей в мире, где поиск постепенно меняется на AI-ассистентов
**💻**** Это выступление для тех, кто хочет понимать не только то, как работает SEO сегодня, но и то, как формируется выдача и рекомендации в новой AI-реальности.**
__G GATE CONF — место, где делятся реальными кейсами и сильной экспертизой. Присоединяйтесь ____💚____
__**✉️**** Билеты: ****ggateconf.com**
[__G GATE CONF |__](https://ggateconf.com/tickets)__ JUNE 26-27, 2026__ | [__ЧАТ__](https://t.me/ggatecommunity)</v>
      </c>
      <c r="B85" t="str">
        <v>B2</v>
      </c>
      <c r="C85">
        <v>0</v>
      </c>
      <c r="D85" t="str">
        <v>ru</v>
      </c>
    </row>
    <row r="86" spans="1:4" x14ac:dyDescent="0.3">
      <c r="A86" t="str">
        <v>**🇰🇿 Казахстан: обзор ГЕО от**[** Blask**](https://blask.com/)
Рынок зрелый — за год рост Blask Index составил **+3,24%. **Важный момент: с марта 2026 Blask Index падает. Причину рассмотрим ниже.
**CEB — $1,17 млрд. **Казахстан обогнал Чили, Южную Корею, Данию (Казахстан №36, Дания — №39).
**APS — 4,64 млн** (№31 в Blask). После введения ЕСУ (Единая система учёта, аналог ЦУПИСа в России) и проблем у регулируемых операторов рынок на время сжался. Сравните: у Греции и Казахстана APS практически одинаковый (4,53 млн и 4,64 млн), при этом разница в населении — в два раза. 
**Регулирование**
В Казахстане разрешены ставки на спорт, онлайн-казино — нет.
В начале марта 2026 в стране заработала ЕСУ. Для продолжения работы бренды с местной лицензией обязаны были интегрироваться с несколькими государственными сервисами, как минимум все платежи должны идти через NomaPay. Но успели далеко не все. 
Итог — в начале марта легальные бренды начали отключать от платёжных систем. Продукты физически не могли принимать ставки. Рынок рухнул: в феврале Blask Index был ещё 13,41 млн, а вот в марте уже 8,3 млн, в апреле — вообще 6,26 млн. 
Тогда букмекеры были недовольны происходящим. Гендиректор «Тенниси» [**отреагировал**](https://www.sports.ru/betting/industry/1117093085-sulejmanov-ob-otklyuchenii-platezhnyx-sistem-ot-kazaxstanskix-bk-ne-vs.html) крайне негативно:
«Да, на самом деле еще вчера начался процесс отключения платежных систем от БК. Страшные письма-пугалки от регулятора вынуждают операторов платежей идти на самые жесткие меры.
Причина — все платежи должны идти через Номапей. А все букмекеры должны интегрироваться с Номапей, с ЕСУ и еще каким-то количеством государственных сервисов.
Само собой не все букмекеры успели интегрировать все, чтобы продолжить работу, так как сроки были очень сжатыми для такого объема. Поэтому легальный беттинг в Казахстане прилег отдохнуть.
Нелегальный открывает припасенное на особый случай шампанское! Хотели как лучше, а получилось как всегда! Ура, товарищи!»
Интерес к оффшорным брендам вырос в** 2,9 раз.** Вот динамика Blask Index по ним с февраля по апрель:
Февраль: 2.91%
Март: 6,31%
Апрель: 8,39%
**Топ брендов **
Сейчас наибольшим спросом пользуются бренды с местной лицензией. На рынке есть явный лидер — Olimpbet с BAP **56,35%,** у ближайшего конкурента — Pin-Up — BAP** 32.82%.** В сумме у двух брендов почти **90% BAP** — настоящая дуополия.
При этом несколько брендов значительно выросли год к году: 
— Pinco прибавил **203,9%** и вышел на 10 место
— Ubet взлетел на **683,5% **и расположился на 14 строчке
**О** метриках
**Blask Index — **показатель интереса к iGaming-рынку или бренду
**CEB (Competitive Earning Baseline) —** прогноз выручки по данным Blask
**APS (Acquisition Power Score) — **потенциальное количество игроков, который бренд может привлечь на конкретном рынке
**BAP (Brand's Accumulated Power) — **доля спроса конкретного бренда относительно конкурентов</v>
      </c>
      <c r="B86" t="str">
        <v>B2</v>
      </c>
      <c r="C86">
        <v>0</v>
      </c>
      <c r="D86" t="str">
        <v>ru</v>
      </c>
    </row>
    <row r="87" spans="1:4" x14ac:dyDescent="0.3">
      <c r="A87" t="str">
        <v>Коллег привет, 
Подскажите, пожалуйста, кто работал с T365? Всё гуд с ними? Спасибо 🤝</v>
      </c>
      <c r="B87" t="str">
        <v>B2</v>
      </c>
      <c r="C87">
        <v>0</v>
      </c>
      <c r="D87" t="str">
        <v>ru</v>
      </c>
    </row>
    <row r="88" spans="1:4" x14ac:dyDescent="0.3">
      <c r="A88" t="str">
        <v>**Рынок AI в iGaming вырастет в 13 раз за 5 лет**
Сегодня AI занимает 1-2% IT-бюджетов операторов. К 2030 — уже 11%. Те, кто входит сейчас, получат кратный отрыв.
🌐 [**MICo**](https://t.me/+T7JJDB4opZk3YWMy)** собрали все изменения в одном тренд-репорте «Будущее iGaming: прогнозы, AI и борьба за маржу»,** которые уже влияют на экономику операторов и будут актуальны в ближайшем будущем: 
🔘Где операторы теряют выручку и что с этим делать
🔘Почему регуляторику больше нельзя считать только юридической проблемой: кейс Непала и Индии
🔘Нехватка AI-компетенций становится одним из главных ограничений роста операторов — есть ли план действий?
Цифры рынка, анти-кейсы и успешные сценарии, а также практических выводы, которые можно применить уже сейчас.
**→ **[**Читать полный отчет**](https://t.me/mico_report_bot?start=iGamingCEO)</v>
      </c>
      <c r="B88" t="str">
        <v>B2</v>
      </c>
      <c r="C88">
        <v>0</v>
      </c>
      <c r="D88" t="str">
        <v>ru</v>
      </c>
    </row>
    <row r="89" spans="1:4" x14ac:dyDescent="0.3">
      <c r="A89" t="str">
        <v>[context] Как человек, знакомый с РФ-телекомом, могу сказать только одно  — в  РФ точно не стоит брать SIP-телефонию под high-risk. :) За сопредельные не скажу, не знаю — но интуиция говорит, что лучше всего под ваш запрос может подойти Казахстан.
Какого провайдера конкретно рекомендуете под казахстанские номера для outbound на РФ? Без российского юрлица, ~120 звонков/день?</v>
      </c>
      <c r="B89" t="str">
        <v>B2</v>
      </c>
      <c r="C89">
        <v>0</v>
      </c>
      <c r="D89" t="str">
        <v>ru</v>
      </c>
    </row>
    <row r="90" spans="1:4" x14ac:dyDescent="0.3">
      <c r="A90" t="str">
        <v>Коллеги, привет ✨
Подскажите, есть ли у кого-то отзывы о Repay? 
Заранее благодарю 🙏</v>
      </c>
      <c r="B90" t="str">
        <v>B2</v>
      </c>
      <c r="C90">
        <v>0</v>
      </c>
      <c r="D90" t="str">
        <v>ru</v>
      </c>
    </row>
    <row r="91" spans="1:4" x14ac:dyDescent="0.3">
      <c r="A91" t="str">
        <v>Всем добрый вечер! Подскажите пожалуйста, кто-то работал с allpass.ai как провайдером KYC/KYB? Может посоветуете еще хороших кроме СамСаба? Именно нужны KYC/KYB со всеми прелестями, если есть еще криптовый модуль - тоже будет хорошо, но необязательно</v>
      </c>
      <c r="B91" t="str">
        <v>B2</v>
      </c>
      <c r="C91">
        <v>0</v>
      </c>
      <c r="D91" t="str">
        <v>ru</v>
      </c>
    </row>
    <row r="92" spans="1:4" x14ac:dyDescent="0.3">
      <c r="A92" t="str">
        <v>[context] Всем привет, подскажите пожалуйста, собираюсь заливаться на igaming какую пп посоветуете и какое гео?
в лс могу покидать ПП 
по гео африку бери</v>
      </c>
      <c r="B92" t="str">
        <v>B2</v>
      </c>
      <c r="C92">
        <v>0</v>
      </c>
      <c r="D92" t="str">
        <v>ru</v>
      </c>
    </row>
    <row r="93" spans="1:4" x14ac:dyDescent="0.3">
      <c r="A93" t="str">
        <v>Коллеги, всем изобилия) 
Подскажите, пожалуйста, кто-то работал с MonkeyHub? Есть ли какие-то отзывы о работе, что скажете о ребятах?</v>
      </c>
      <c r="B93" t="str">
        <v>B2</v>
      </c>
      <c r="C93">
        <v>0</v>
      </c>
      <c r="D93" t="str">
        <v>ru</v>
      </c>
    </row>
    <row r="94" spans="1:4" x14ac:dyDescent="0.3">
      <c r="A94" t="str">
        <v>Всем изобилия! 
Подскажите, пожалуйста, кто-то работал с Noros? Есть ли какие-то отзывы о работе, что скажете о ребятах?</v>
      </c>
      <c r="B94" t="str">
        <v>B2</v>
      </c>
      <c r="C94">
        <v>0</v>
      </c>
      <c r="D94" t="str">
        <v>ru</v>
      </c>
    </row>
    <row r="95" spans="1:4" x14ac:dyDescent="0.3">
      <c r="A95" t="str">
        <v>**🇱🇦****Лаос перестаёт быть тихой гаванью для серого APAC-эквайринга**
Вьетнамская полиция совместно с коллегами из Лаоса накрыла платёжную сеть ASM Pay, обслуживавшую китайских гемблинг-операторов. За четыре месяца через контур прошло около $152 млн. Схема выглядела знакомо для любого, кто работал с APAC high-risk: VND → локальный шлюз → OTC/биржа → USDT → расчёты с операторами в Китае. Комиссия сети составляла всего 0,3–0,8% от оборота. В работе использовались Telegram и собственный софт ASM Pay. Задержаны 56 человек.
💭Сам кейс интересен не объёмом. Интересно направление миграции.
По данным следствия, китайские организаторы перебрались в Лаос после усиления давления на подобные структуры в Камбодже в начале 2026 года. Это уже не единичный рейд, а продолжение многолетнего тренда: Камбоджа → Лаос → приграничные зоны Мьянмы → всё более экзотические юрисдикции.
❓**Что это означает для high-risk PSP и платёжных агентов**
1️⃣Стоимость серной ликвидности в APAC будет расти.
   Чем меньше остаётся работающих MIA-подобных шлюзов и OTC-хабов, тем выше cost of funds и тем больше премия за расчётный риск.
2️⃣USDT окончательно закрепляется как операционная валюта.
   В большинстве подобных схем стейблкоин используется не как инвестиционный инструмент, а как расчётный слой между локальными фиатными рельсами и конечным бенефициаром.
3️⃣География продолжает смещаться.
   После охлаждения Камбоджи и роста внимания к Лаосу рынок всё чаще смотрит на приграничные зоны Мьянмы, отдельные тихоокеанские юрисдикции и полностью криптовые схемы без классического локального эквайринга. При этом давление Китая на инфраструктуру офшорного гемблинга остаётся системным, а не ситуативным.
📣Главный вопрос на второе полугодие 2026 года: какие APAC-юрисдикции ещё готовы предоставлять не только лицензии и регистрацию, но и реальную платёжную инфраструктуру для high-risk-трафика?
✔️[High-Risk PaymentsHub — присоединяйся](https://t.me/paymentshubhighrisk)</v>
      </c>
      <c r="B95" t="str">
        <v>B2</v>
      </c>
      <c r="C95">
        <v>0</v>
      </c>
      <c r="D95" t="str">
        <v>ru</v>
      </c>
    </row>
    <row r="96" spans="1:4" x14ac:dyDescent="0.3">
      <c r="A96" t="str">
        <v>[context] Всем привет! 
Есть ли у кого-то опыт работы с PSP Epay, Payglobal, Star234?
Star234 скамеры, нас на $30к кинули 
Остальные просто плохо
В целом троица святая перечислена, только перекреститься и молиться</v>
      </c>
      <c r="B96" t="str">
        <v>B3</v>
      </c>
      <c r="C96">
        <v>0</v>
      </c>
      <c r="D96" t="str">
        <v>ru</v>
      </c>
    </row>
    <row r="97" spans="1:4" x14ac:dyDescent="0.3">
      <c r="A97" t="str">
        <v>💳**Carding в гемблинге: как воруют через тестовые депозиты**
Казино и беттинг-платформы - один из любимых полигонов для проверки краденых карт. Не потому что там воруют деньги напрямую (хотя и это бывает), а потому что механика депозитов идеально подходит для того, что индустрия фрода называет card testing.
Разбираем, что это за схема с точки зрения payment-команды и как её ловят.
1️⃣**Почему казино - удобная площадка для card testing**
Когда у мошенника есть база краденых номеров карт, первая задача - понять, какие карты ещё "живые" и не заблокированы банком. Для этого нужна платформа, где:
➡️можно быстро зарегистрироваться без сложной верификации
➡️минимальный депозит небольшой (иногда $1-5)
➡️транзакция обрабатывается мгновенно, и результат виден сразу
➡️неудачная попытка не вызывает подозрений у платформы так, как это было бы в интернет-магазине
Казино и беттинг-сайты исторически подходили по всем пунктам - отсюда и популярность именно этой индустрии для тестирования карт.
2️⃣**Как выглядит паттерн изнутри**
Классическая схема: серия мелких депозитов с разных карт (часто из одной украденной базы - соседние номера, одна и та же группа BIN) на один аккаунт или на серию свежесозданных аккаунтов, за короткий промежуток времени, часто с одного устройства или IP-диапазона.
Цель мошенника не выиграть и не поиграть, а получить ответ "approved/declined" от платежной системы. Успешная транзакция значит, что карта рабочая, и её можно перепродать дороже или использовать для более крупного мошенничества в другом месте.
3️⃣**Почему это дорого стоит оператору, даже если сам не пострадал напрямую**
Вот ключевой момент, который часто недооценивают: даже если казино не теряет деньги напрямую (депозит вроде бы прошёл нормально), урон приходит через несколько каналов:
➡️**Chargeback ratio** - настоящий держатель карты рано или поздно увидит списание, которое не совершал, и оспорит его. Пачка мелких карточных тестов = пачка будущих чарджбэков
➡️**Репутация MID у платёжных систем** - Visa/Mastercard отслеживают паттерны card testing по конкретному merchant ID, и это напрямую влияет на risk-рейтинг мерчанта, независимо от того, кто виноват
➡️**Блокировка со стороны эквайера** - банк-эквайер может временно заморозить приём платежей у мерчанта, если видит резкий всплеск деклайнов подряд с разных карт - это классический сигнал для риск-отдела банка
4️⃣**Как индустрия это ловит**
➡️**Проверка скорости операций по BIN и IP** - если за короткое время идёт серия попыток с картами одного диапазона BIN, это красный флаг ещё до авторизации
➡️**Соотношение approved/declined в реальном времени** - резкий рост доли отклонённых транзакций с одного источника - явный сигнал card testing, даже если отдельные транзакции выглядят невинно
➡️**Цифровой отпечаток устройства и поведенческая биометри**я - то, как человек вводит данные карты (скорость печати, паттерны движения мыши), сильно отличается у бота или скрипта от обычного игрока
➡️**Лимит на количество попыток оплаты с одного устройства/IP за период** - простая, но рабочая мера
➡️**3D Secure как фильтр** - 3DS резко усложняет card testing, потому что мошеннику нужен доступ не только к номеру карты, но и к каналу подтверждения (смс, приложение банка)
📌**Главный вывод для payment-команд**
Card testing - это тот случай, где отдельная транзакция почти никогда не выглядит подозрительно, а вся картина видна только на уровне паттерна и скорости. Именно поэтому мониторинг скорости транзакций в реальном времени и связки BIN/device/IP важнее любого пост-фактум анализа: к моменту, когда чарджбэки дойдут до отчёта, ущерб репутации MID уже нанесён.
✔[High-Risk PaymentsHub — присоединяйся](https://t.me/paymentshubhighrisk)</v>
      </c>
      <c r="B97" t="str">
        <v>B3</v>
      </c>
      <c r="C97">
        <v>0</v>
      </c>
      <c r="D97" t="str">
        <v>ru</v>
      </c>
    </row>
    <row r="98" spans="1:4" x14ac:dyDescent="0.3">
      <c r="A98" t="str">
        <v>**СКАМ с фейковым трафиком: SolaceRewards обманул бренды**
Несколько iGaming-брендов заявили о схеме с участием SolaceRewards — стриминг-аккаунта и аффилейт-сайта, который привлекал партнёров, показывая поддельную статистику по трафику и оборотам.
По данным участников рынка, проект демонстрировал сайт с лидербордами и видеостатистикой, где указывались обороты более $24 млн на крипто-казино вроде Thrill, Shuffle и Packdraw. При этом цифры выглядели идеальными. После этого операторам предлагали тестовое сотрудничество, но фактический трафик оказывался накрученным — с мультиаккаунтами и злоупотреблением ставками.
После выявления несостыковок проект мог менять домен или просто исчезать, а записи стримов удалялись. Представители индустрии сообщили о похожих кейсах и потерях, при этом некоторые операторы заявили, что вообще не сотрудничали с SolaceRewards, несмотря на упоминания в их материалах.
После обсуждений сайт и аккаунты SolaceRewards стали недоступны.</v>
      </c>
      <c r="B98" t="str">
        <v>B3</v>
      </c>
      <c r="C98">
        <v>0</v>
      </c>
      <c r="D98" t="str">
        <v>ru</v>
      </c>
    </row>
    <row r="99" spans="1:4" x14ac:dyDescent="0.3">
      <c r="A99" t="str">
        <v>[context] Коллеги, всем добрый день!
Хотелось бы прокомментировать и разобраться в обвинениях в сторону Winstrax. 
Для начала позвольте представиться с кем еще не знакомы - Мы B2B igaming платформа, которая предоставляет продукт разным партнерам. Со многими участниками чата знакомы и успешно работаем. 
Мы с уважением относимся к платежному сообществу и всегда стремились к справедливому и конструктивному взаимодействию. 
Для начала хотелось бы сказать, что данный кейс не закрыт с платежным провайдером и находится в процессе разбирательства. Мы полностью поддерживаем коммуникацию с ними, хоть и наше последнее официальное сообщение им осталось без ответа в нашу сторону.
Конкретно по кейсу:
1. В предоставленных материалах штрафа были указаны сторонние cross-SEO-сайты, которые нам не принадлежат и никогда не контролировались нами. Информация о том, что они с нами связаны, как и о том, что они были отключены через 5 минут - ложная. Это кросс-SEO реклама которую продают на рынке.
2. После получения информации о сайтах, мы самостоятельно выявили внешнюю аффилиатную команду, стоящую за этими сайтами, и потребовали прекратить использование нашего бренда. После долгих пререканий они выполнили наше требование, но уж точно не за 5 минут.
3. Редиректы с указанных cross-SEO сайтов перенаправляли пользователей не только на наш проект, но и на множество других брендов. Этот факт был зафиксирован как нашей командой, так и командой платежного провайдера. Эта информация говорит о том, что данные штрафы могут принадлежать не нам. Кроме того, я думаю вы согласитесь, что использование нашего бренда не является доказательством того, что эти домены наши, как и то, что штрафы были адресованы нам.
4. Не смотря на всю эту информацию, мы не отказываемся от финансовых обязательств, потому что мы понимаем реалии рынка. Мы лишь просили разобраться в ситуации и предоставить больше данных, так как платить за потенциально чужие штрафы мы, как и любая другая компания, не можем. Ни одно из следующих доказательств предоставлено не было:
- не было ARN транзакций (в случаях с cross-seo сайтами обычно MC дает такую информацию)
- не было детальных скриншотов переписок с MC или запись экрана этой переписки (так как мы понимаем, что MC все же может иногда не предоставить ARN).
Как вы можете заметить, нам нужны любые базовые доказательства.
5. Как и было указано, первый штраф был оплачен, но мы с ним не соглашались, так как перечисленные доказательства тоже не были предоставлены. Средства просто списали с нас и отказались продолжать нормальную коммуникацию.
6. Заявление о системности так же ложное. Мы всегда исполняем все свои обязательства перед PSP. В данном кейсе, как я уже сказал ранее, не предоставили ARN транзакций, что в целом мы готовы были бы понять, если бы нам открыто предоставили всю информацию с переписками и данными, на которые в данном случае мы как мерчант имеем право.
Мы всегда открыты к конструктивному диалогу. С самого начала мы проявляли готовность разбираться, делились результатами внутренней проверки и объясняли технические особенности работы подобных сайтов, но столкнулись с категоричным непринятием нашей позиции без рассмотрения представленных аргументов. Хотя нам всего нужно было ARN транзакции, или любая другая полная информация что штраф действительно наш.
Спор не был завершён, процесс для нас продолжается и мы абсолютно не понимаем, почему без информации со 2 стороны было принято решение о добавлении компании в ЧС.  Было бы здорово все же сначала выслушать обе стороны, получить полную информацию, и только после этого принимать решение.
Исходя из всего вышесказанного, мы просим @whos_fv убрать нас из ЧС, так как никаких скаммерских действий с нашей стороны не было, а разбирательство по кейсу не закрыто.
Представителей компании просим вести коммуникацию напрямую и наконец-то предоставить запрашиваемые доказательства (хотя бы что-то).
В случае необходимости платежное сообщество может назначить независимого арбитра, если нам не удастся решить данный вопрос в рамках внутренней коммуникации, мы открыты для этого!
Решайте вопрос со стороной которая написала, договоритесь, уберу!</v>
      </c>
      <c r="B99" t="str">
        <v>B3</v>
      </c>
      <c r="C99">
        <v>0</v>
      </c>
      <c r="D99" t="str">
        <v>ru</v>
      </c>
    </row>
    <row r="100" spans="1:4" x14ac:dyDescent="0.3">
      <c r="A100" t="str">
        <v>🚨 Добавил в ЧС — RED Alert
PSP's (вкладка)
**Fuji Exchange Limited / Blue Whale Tech Inc** - cratos.net, payball.net
__- Мошенничество с удержанием средств — после начала работы по первичке сфабриковали штраф и удержали по нему сеттлмент;
- Поддельная документация — независимая проверка однозначно подтвердила, что штраф некорректный, однако компания отказалась возвращать средства;
- Уклонение от урегулирования — после предъявления результатов проверки «ушли разбираться с эквайером» и на связь не выходят.__
#Blacklist #PSP #ЧС #ЧерныйСписок</v>
      </c>
      <c r="B100" t="str">
        <v>B3</v>
      </c>
      <c r="C100">
        <v>0</v>
      </c>
      <c r="D100" t="str">
        <v>ru</v>
      </c>
    </row>
    <row r="101" spans="1:4" x14ac:dyDescent="0.3">
      <c r="A101" t="str">
        <v>**### 🚀Open to work ###
Payments Integration &amp; PSP Partner Manager. Опыт 4+ года в iGaming / payments. Betting · Casino · Integrations
**
#payments #integrations #psp #igaming #remote
**Опыт работы:**
- Payments Integration &amp; PSP Partner Manager — iGaming оператор (Malta, betting/gambling)
Единая точка координации по 7+ PSP: онбординг провайдеров, интеграции, UAT/sandbox, go-live, операционка и эскалации. Работа с product, engineering, compliance, finance, QA.
- Integration Engineer → Technical Consultant — iGaming оператор (Malta)
Интеграции платежных и внешних систем: API, маппинг полей, sandbox UAT, production support. Координация с vendor engineering teams.
- Software engineer — B2B SaaS (Kraków)
Next.js, Nest.js, typescript, php, Wordpress. 10+ лет engineering background в сумме.
**Достижения:**
- Координировал rescue-rollout ~20 payment methods через 2 PSP за ~1 месяц — single POC при параллельных интеграциях и жёстком дедлайне.
- Нашёл и исправил cross-system дефект (4 системы) → reg-to-deposit ~8% → ~38%, successful deposits ~15% → ~60%.
- Провёл E2E онбординг 7+ PSP-партнёров: от requirements до post-go-live monitoring.
- Собрал middleware-адаптер между несовместимыми API (affiliate + platform) → запуск программы без ожидания vendor roadmaps.
- Оформил runbooks, go-live checklists и escalation paths — ускорил повторяемый PSP onboarding.
**Что ищу:**
- Full-time remote (Poland / EU)
- Payments Integration Manager · PSP Account / Partner Manager · Integration Manager · Payment Partnerships
- iGaming оператор, агрегатор, платформа или payment infrastructure vendor
- Роли с vendor-facing delivery, PSP onboarding, ops и cross-functional координацией
**Контакты:**
TG: @alian_jr</v>
      </c>
      <c r="B101" t="str">
        <v>B3</v>
      </c>
      <c r="C101">
        <v>0</v>
      </c>
      <c r="D101" t="str">
        <v>en</v>
      </c>
    </row>
    <row r="102" spans="1:4" x14ac:dyDescent="0.3">
      <c r="A102" t="str">
        <v>#CV #iGaming #Payments #PSP #FinTech #OpenToWork #Remote
Всем привет!
Меня зовут Глеб, я уже более 3-х лет в сфере iGaming.
🎰 Мое погружение в iGaming проходило с рядовой должности в Support отдел + VIP сегмент.
💸 Работал с выводами в "P2P payout" отделе, который мы самостоятельно строили своей командой внутри компании, где занимал должность "Supervisor".
🕵🏻‍♂️ Также мне доводилось выявлять и применять меры по отношению к мошенникам, просматривая чеки, а также наблюдать за работоспособностью платежных систем в "Payment" отделе.
📊 Анализировал и оптимизировал платежные процессы, находясь в должности "PSP Senior Conversion Manager".
🌍Работал с различными гео: (AZN, BRL, EUR, KZT, UAH, UZS, USD)
💌 Буду рад новым знакомствам, интересным проектам и возможности применить свой опыт для совместных задач.
 📌 Более подробно о моих задачах и результатах — в резюме выше,
🤗 С нетерпением ожидаю обратной связи!
TG - @knight9knife</v>
      </c>
      <c r="B102" t="str">
        <v>B3</v>
      </c>
      <c r="C102">
        <v>0</v>
      </c>
      <c r="D102" t="str">
        <v>ru</v>
      </c>
    </row>
    <row r="103" spans="1:4" x14ac:dyDescent="0.3">
      <c r="A103" t="str">
        <v>🚀 Telvy — retention-платформа для iGaming в Telegram
Одна платформа вместо пяти подписок:
• Конструктор user-flow — сами решаете что и когда показывать игрокам
• AI-саппорт 24/7 с вашей базой знаний
• Сегменты и триггеры по любым событиям
• Промокоды 3 типов и лутбоксы для гемификации
• Антифрод против мульти-аккаунтов и бонус-хантеров
• API-интеграция с любой платформой
Под iGaming заточены с нуля. Дешевле Optimove в 10х. Запуск за 3 дня.
Пишите @telvycrm</v>
      </c>
      <c r="B103" t="str">
        <v>B3</v>
      </c>
      <c r="C103">
        <v>0</v>
      </c>
      <c r="D103" t="str">
        <v>ru</v>
      </c>
    </row>
    <row r="104" spans="1:4" x14ac:dyDescent="0.3">
      <c r="A104" t="str">
        <v>**B2B iGaming Platforms Accelerate AI Integration for User Retention**
In the B2B iGaming software sector, platform providers are focusing heavily on integrating smart technology to unlock higher player engagement.  
Leading B2B technology providers are actively harnessing innovative AI and real-time reporting to maximize user acquisition and retention.  
**For example, GiG Software recently launched a strategic partnership with VAIX to deliver deep AI personalization directly across their iGaming platforms.**
These intelligent, rules-based automation tools are becoming essential for operators trying to scale efficiently across multiple global and regulated markets.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v>
      </c>
      <c r="B104" t="str">
        <v>B3</v>
      </c>
      <c r="C104">
        <v>0</v>
      </c>
      <c r="D104" t="str">
        <v>en</v>
      </c>
    </row>
    <row r="105" spans="1:4" x14ac:dyDescent="0.3">
      <c r="A105" t="str">
        <v>Интегрирую платёжный шлюз в свой маркетплейс, подскажите нормального провайдера для EU</v>
      </c>
      <c r="B105" t="str">
        <v>B3</v>
      </c>
      <c r="C105">
        <v>0</v>
      </c>
      <c r="D105" t="str">
        <v>ru</v>
      </c>
    </row>
    <row r="106" spans="1:4" x14ac:dyDescent="0.3">
      <c r="A106" t="str">
        <v>Разрабатываем checkout для нашего онлайн-казино, нужно API с поддержкой 3DS и нормальной документацией</v>
      </c>
      <c r="B106" t="str">
        <v>B3</v>
      </c>
      <c r="C106">
        <v>0</v>
      </c>
      <c r="D106" t="str">
        <v>ru</v>
      </c>
    </row>
    <row r="107" spans="1:4" x14ac:dyDescent="0.3">
      <c r="A107" t="str">
        <v>Тестирую процессинг для своего сайта в sandbox, на проде 3DS не проходит — кто сталкивался</v>
      </c>
      <c r="B107" t="str">
        <v>B3</v>
      </c>
      <c r="C107">
        <v>0</v>
      </c>
      <c r="D107" t="str">
        <v>ru</v>
      </c>
    </row>
    <row r="108" spans="1:4" x14ac:dyDescent="0.3">
      <c r="A108" t="str">
        <v>Осторожно с этим провайдером — чарджбек вырос до 4% за месяц, причин не объясняют, поддержка молчит</v>
      </c>
      <c r="B108" t="str">
        <v>B3</v>
      </c>
      <c r="C108">
        <v>0</v>
      </c>
      <c r="D108" t="str">
        <v>ru</v>
      </c>
    </row>
    <row r="109" spans="1:4" x14ac:dyDescent="0.3">
      <c r="A109" t="str">
        <v>Кинули на сетлмент, три недели тишина. Всем советую занести в ЧС, имейте в виду</v>
      </c>
      <c r="B109" t="str">
        <v>B3</v>
      </c>
      <c r="C109">
        <v>0</v>
      </c>
      <c r="D109" t="str">
        <v>ru</v>
      </c>
    </row>
    <row r="110" spans="1:4" x14ac:dyDescent="0.3">
      <c r="A110" t="str">
        <v>ЧС: держат роллинг сверх договора уже два месяца, на связь не выходят. Предупреждаю всех.</v>
      </c>
      <c r="B110" t="str">
        <v>B3</v>
      </c>
      <c r="C110">
        <v>0</v>
      </c>
      <c r="D110" t="str">
        <v>ru</v>
      </c>
    </row>
    <row r="111" spans="1:4" x14ac:dyDescent="0.3">
      <c r="A111" t="str">
        <v>Нужен корпоративный счёт для нашего мерчанта, работаем с EU-трафиком, объём ~300к в месяц</v>
      </c>
      <c r="B111" t="str">
        <v>B3</v>
      </c>
      <c r="C111">
        <v>0</v>
      </c>
      <c r="D111" t="str">
        <v>ru</v>
      </c>
    </row>
    <row r="112" spans="1:4" x14ac:dyDescent="0.3">
      <c r="A112" t="str">
        <v>Ищем IBAN для iGaming бизнеса, желательно литовское или мальтийское EMI, кто может помочь</v>
      </c>
      <c r="B112" t="str">
        <v>B3</v>
      </c>
      <c r="C112">
        <v>0</v>
      </c>
      <c r="D112" t="str">
        <v>ru</v>
      </c>
    </row>
    <row r="113" spans="1:4" x14ac:dyDescent="0.3">
      <c r="A113" t="str">
        <v>Setting up payment processing for our platform, looking for a PSP with solid API and webhook support</v>
      </c>
      <c r="B113" t="str">
        <v>B3</v>
      </c>
      <c r="C113">
        <v>0</v>
      </c>
      <c r="D113" t="str">
        <v>en</v>
      </c>
    </row>
    <row r="114" spans="1:4" x14ac:dyDescent="0.3">
      <c r="A114" t="str">
        <v>We're building an iGaming product and need to integrate a payment gateway, any recommendations for EU?</v>
      </c>
      <c r="B114" t="str">
        <v>B3</v>
      </c>
      <c r="C114">
        <v>0</v>
      </c>
      <c r="D114" t="str">
        <v>en</v>
      </c>
    </row>
    <row r="115" spans="1:4" x14ac:dyDescent="0.3">
      <c r="A115" t="str">
        <v>Trying to connect a checkout to our site, need a provider that supports 3DS2 and has sandbox access</v>
      </c>
      <c r="B115" t="str">
        <v>B3</v>
      </c>
      <c r="C115">
        <v>0</v>
      </c>
      <c r="D115" t="str">
        <v>en</v>
      </c>
    </row>
    <row r="116" spans="1:4" x14ac:dyDescent="0.3">
      <c r="A116" t="str">
        <v>Warning: this PSP has been freezing merchant accounts without notice, chargeback rate spiked to 5%</v>
      </c>
      <c r="B116" t="str">
        <v>B3</v>
      </c>
      <c r="C116">
        <v>0</v>
      </c>
      <c r="D116" t="str">
        <v>en</v>
      </c>
    </row>
    <row r="117" spans="1:4" x14ac:dyDescent="0.3">
      <c r="A117" t="str">
        <v>Scam alert — they held our rolling reserve for 6 months past contract terms, adding to blacklist</v>
      </c>
      <c r="B117" t="str">
        <v>B3</v>
      </c>
      <c r="C117">
        <v>0</v>
      </c>
      <c r="D117" t="str">
        <v>en</v>
      </c>
    </row>
    <row r="118" spans="1:4" x14ac:dyDescent="0.3">
      <c r="A118" t="str">
        <v>Avoid this provider — settlement delays for 3+ weeks, support unresponsive, chargeback explanation refused</v>
      </c>
      <c r="B118" t="str">
        <v>B3</v>
      </c>
      <c r="C118">
        <v>0</v>
      </c>
      <c r="D118" t="str">
        <v>en</v>
      </c>
    </row>
    <row r="119" spans="1:4" x14ac:dyDescent="0.3">
      <c r="A119" t="str">
        <v>Looking for a business account for our gambling operation, preferably EU EMI or neo-bank, any leads?</v>
      </c>
      <c r="B119" t="str">
        <v>B3</v>
      </c>
      <c r="C119">
        <v>0</v>
      </c>
      <c r="D119" t="str">
        <v>en</v>
      </c>
    </row>
    <row r="120" spans="1:4" x14ac:dyDescent="0.3">
      <c r="A120" t="str">
        <v>Need an IBAN for our merchant entity, EU-based, high monthly volume, open to EMI recommendations</v>
      </c>
      <c r="B120" t="str">
        <v>B3</v>
      </c>
      <c r="C120">
        <v>0</v>
      </c>
      <c r="D120" t="str">
        <v>en</v>
      </c>
    </row>
    <row r="121" spans="1:4" x14ac:dyDescent="0.3">
      <c r="A121" t="str">
        <v>[context] **📆 Что обсуждалось вчера 01.07.2026 **
Всего было написано **39 сообщений**
💳 Поиск решений и контактов в платежной сфере ([20 сообщений](https://t.me/c/1602583765/26591))
🛠️ Тестирование демо и качество сервисов ([6 сообщений](https://t.me/c/1602583765/26622))
⚠️ Отзыв о платежных системах и их недостатках ([5 сообщений](https://t.me/c/1602583765/26352/26630))
👔 Поиск C-уровня специалиста в платежной сфере ([4 сообщений](https://t.me/c/1602583765/26597))
⚡️ [Попробуй рутины для чата и себя](https://t.me/ChatLogixBot?start=routine_intro_-1001602583765)
🔥 [Мой канал](https://t.me/ChatLogix)
#dailysummary
Привет, коллеги.
InsideEX processing-команда с фокусом на LATAM high-risk.
Сейчас активно работаем по:
AR / BR / MX / PY / CL / VE
Закрываем:
— local bank transfers (P2P)
— PIX Brazil
— local wallets (MercadoPago / AstroPay)
— deep link flows
Работаем с gambling / betting трафиком:
стабильные выплаты, competitive approval rates, возможность подключения как в основной поток, так и в cascade.
Если сейчас ищете дополнительный processing по LATAM или хотите усилить текущий setup — пишите в ЛС.</v>
      </c>
      <c r="B121" t="str">
        <v>B4</v>
      </c>
      <c r="C121">
        <v>0</v>
      </c>
      <c r="D121" t="str">
        <v>ru</v>
      </c>
    </row>
    <row r="122" spans="1:4" x14ac:dyDescent="0.3">
      <c r="A122" t="str">
        <v>🗓 **Дайджест**: 13.07-19.07
1. [**Чемпионат мира как инфоповод для слотовых игроков**](https://t.me/igamingceo/1040). Рассказываем о том, как вовлечь публику, используя громкое спортивное событие.
2. [**Аффилиаты и СРА-сетки, готовые к сотрудничеству с новыми iGaming-брендами (2026)**](https://t.me/igamingceo/1042). Список партнеров, которые открыты к сотрудничеству с новыми проектами + детальная информация по условиям и гео. 
3. [**Ищем инфлюенс-агентства**](https://t.me/igamingceo/1044). Расскажите бесплатно о вашем агентстве, заполнив короткую [форму](https://docs.google.com/forms/d/e/1FAIpQLSdkb0NW5j3dWBno-bxHdpvRsxIo77xGjdSjTA9hzPqT4L6aNQ/viewform?usp=dialog). 
4. [**6 дашбордов, которые регулярно смотрит продукт менеджер**](https://t.me/igamingceo/1047). Рассказываем о своем подходе к ключевым дашбордам для продукт менеджера.
Также мы собираем полезные ссылки для запуска и развития онлайн-казино:[ навигационный пост](https://t.me/igamingceo/998).
**Подписывайтесь на ****@igamingceo**</v>
      </c>
      <c r="B122" t="str">
        <v>B4</v>
      </c>
      <c r="C122">
        <v>0</v>
      </c>
      <c r="D122" t="str">
        <v>ru</v>
      </c>
    </row>
    <row r="123" spans="1:4" x14ac:dyDescent="0.3">
      <c r="A123" t="str">
        <v>#huiduindia
Post-PROGA ban, India’s iGaming shifts from real-money to AI-powered free-to-play, social, and e-sports formats. Gaming market was ~$4.26 billion in 2024; AI now drives personalization, fraud detection, responsible gaming, and immersive development in 2025-2026. Government support via IndiaAI Mission and 2025-26 Budget (₹20,000 crore for AI cloud credits, ₹10,000 crore for startup funding). X discussions focus on Web3 hiring and offshore pivots.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🪩[**Across 6 cities, HUIDU World Cup Carnival is now open for sponsorship opportunities!**](https://t.me/hdtyler9)
🔤🔤🔤
🔝[**Bet on IPL 2026 &amp; Win Big!**](https://718sp.win/?dl=7ylt1j)
💰[**Join as an agent and earn unlimited commissions!**](https://t.me/hdtyler9)</v>
      </c>
      <c r="B123" t="str">
        <v>B4</v>
      </c>
      <c r="C123">
        <v>0</v>
      </c>
      <c r="D123" t="str">
        <v>en</v>
      </c>
    </row>
    <row r="124" spans="1:4" x14ac:dyDescent="0.3">
      <c r="A124" t="str">
        <v>👋🎰🎭**Подключение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 юз: rezhunozhem</v>
      </c>
      <c r="B124" t="str">
        <v>B-1</v>
      </c>
      <c r="C124">
        <v>0</v>
      </c>
      <c r="D124" t="str">
        <v>ru</v>
      </c>
    </row>
    <row r="125" spans="1:4" x14ac:dyDescent="0.3">
      <c r="A125" t="str">
        <v>🐫 CameL  подключит на TradeMO 🤩
🤩 Общий трафик СБП + карты с уже готовыми решениями под залив и «ферму»:
💰 0₽–1999₽ — 13%
💰 2001₽–4000₽ — 7,5%
💰 от 4000₽ — 7%
💰 от 10.000₽ — 6%
🔄 В круг: до 16,5% 🤩
🔥 VIP SBP (только проверенные КА + высокий чек):
💰 2001₽–4000₽ — 7,5%
💰 от 4000₽ — 7%
🔄 В круг: до 10,5% 🤩
🏦 Альфа → Альфа (с подробными инструкциями):
💸 Любая сумма — 6,5%
🔄 В круг: до 9,5% 🤩
📱 SIM-направление (мануал + бот откупа):
💰 до 2000₽ — 13%
🔄 В круг: до 16% 🤩
📊 Единая сетка выплат по всем направлениям:
▫️ до 15.000₽ — 3%
▫️ 15.000₽–35.000₽ — 2%
▫️ 35.000₽–70.000₽ — 2,5%
▫️ 70.000₽–300.000₽ — 2%
⏰ Prime Time бонус: +0,5–1% к профиту 🤩
💱 Единый курс RUB:
🤩 Рапира +1%
🤩Первая строка
🤩 Красный стакан
🤩 Запуск ваших методов с полной поддержкой и сопровождением
🤩 Уникальный маркетплейс мануалов «ТМетод»
🐫 За подробностями — в ЛС  @cameltll 🐫</v>
      </c>
      <c r="B125" t="str">
        <v>B-1</v>
      </c>
      <c r="C125">
        <v>0</v>
      </c>
      <c r="D125" t="str">
        <v>ru</v>
      </c>
    </row>
    <row r="126" spans="1:4" x14ac:dyDescent="0.3">
      <c r="A126" t="str">
        <v>**🔥**** ПОДКЛЮЧИТЬСЯ К GO6 ****🔥****
****🌐****Ставки:
****⬇️****⬇️****⬇️****⬇️****⬇️****⬇️****⬇️****⬇️****⬇️****
****➡️****16% чеки 100–999****🪙****
****➡️****14% чеки 1 000–4 999****🪙****
****➡️****12% чеки от 5 000****🪙****
****➡️****8% на VIP чеки от 10 000****🪙****
****⬆️****⬆️****⬆️****⬆️****⬆️****⬆️****⬆️****⬆️****⬆️****
****😨****Выплаты - 2****🤍****
****🛜**** Своим трейдерам предоставляю мануалы на моб ком, гу, физ карты
****📣****Для связи - **
**rezhunozhem
Young_Knife
Butterflly_Knife**</v>
      </c>
      <c r="B126" t="str">
        <v>B-1</v>
      </c>
      <c r="C126">
        <v>0</v>
      </c>
      <c r="D126" t="str">
        <v>ru</v>
      </c>
    </row>
    <row r="127" spans="1:4" x14ac:dyDescent="0.3">
      <c r="A127" t="str">
        <v>❗️**DECRYPT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****@Moryak_DecryptPay**</v>
      </c>
      <c r="B127" t="str">
        <v>B-1</v>
      </c>
      <c r="C127">
        <v>0</v>
      </c>
      <c r="D127" t="str">
        <v>ru</v>
      </c>
    </row>
    <row r="128" spans="1:4" x14ac:dyDescent="0.3">
      <c r="A128" t="str">
        <v>🤩 **Pay4Amg** 🤩
📢**Pay in**(Сбп/С2С):
🟠**1-5к - 13.5%**
🟠**5-10к - 12.5%**
🟠**10к+ - 10%**
📢**Pay out**(Сбп/С2С):
🟠**1% за все чеки** (Rapira)
🟠**Трангсран огромные объемы**
🟠**Моб коммерция - 16%**
🟠**Любые монобанки**
🟠**НСПК** (как мультик, так и ру)
🟠**Качественные контрагенты**
🟠**БТ с PDF чеками - 9.5%**
📢**Новые гео** в работе:
🇹🇯**Таджикистан**
🇰🇿**Казахстан**
🇻🇪**Венесуэла**
🇺🇿**Узбекистан**
🇦🇷**Аргентина**
🇮🇳**Индия**
🇪🇬**Египет**
🇦🇿**Азербайджан**
❕**По остальным гео уточнять, сможем добавить по запросу**
⚡️**Огромные объемы** трафика, классный интерфейс, **поддержка 24/7** для каждого трейдера!
✔️**Частые розыгрыши**, созвоны, личные менторы и **штатные тимлиды**, которые помогут вам работать с любым материалом и выжимать из него **максимум**
❕Для тимлидов **пожизненный 1%** за приведенных трейдеров + **бонусы от меня**
⚡️**KYC ДЛЯ РАБОТЫ НЕ НУЖЕН**
**Работай с лучшими** - 🤩
✈️**По поводу подключения** - @pay4amg_ceo</v>
      </c>
      <c r="B128" t="str">
        <v>B-1</v>
      </c>
      <c r="C128">
        <v>0</v>
      </c>
      <c r="D128" t="str">
        <v>ru</v>
      </c>
    </row>
    <row r="129" spans="1:4" x14ac:dyDescent="0.3">
      <c r="A129" t="str">
        <v>❗️**DECRYPT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****@Moryak_DecryptPay**</v>
      </c>
      <c r="B129" t="str">
        <v>B-1</v>
      </c>
      <c r="C129">
        <v>0</v>
      </c>
      <c r="D129" t="str">
        <v>ru</v>
      </c>
    </row>
    <row r="130" spans="1:4" x14ac:dyDescent="0.3">
      <c r="A130" t="str">
        <v>👋🎰🎭**Подключение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v>
      </c>
      <c r="B130" t="str">
        <v>B-1</v>
      </c>
      <c r="C130">
        <v>0</v>
      </c>
      <c r="D130" t="str">
        <v>ru</v>
      </c>
    </row>
    <row r="131" spans="1:4" x14ac:dyDescent="0.3">
      <c r="A131" t="str">
        <v>**GIRA &amp; PAY2PROFIT обновляют СТАВКИ**
❗️Специально для своих выбила лучшие условия подключения👇
**Классика, фермы, залив:**
0-99к/сутки - 10.5%
100к-199к/сутки - 11.5%
от 200к/сутки - 12.5%
❗️Высокие обороты - индивидуальная ставка
**БТ:**
12.5%
❗️Стабильный оборот от 100к/сутки - повышенная ставка
**МК:**
15%
Страховой депозит прогрессивный - 10% от суточного оборота
**Минимальный страховой - 150$**
Пиши сейчас - работай уже через 60 минут
💌За подключением: @Gira_TL</v>
      </c>
      <c r="B131" t="str">
        <v>B-1</v>
      </c>
      <c r="C131">
        <v>0</v>
      </c>
      <c r="D131" t="str">
        <v>ru</v>
      </c>
    </row>
    <row r="132" spans="1:4" x14ac:dyDescent="0.3">
      <c r="A132" t="str">
        <v>🚨 **Pro-Level Platform + CRM Built to Crush the Market** 🚨
⚡️ Flawless 24/7 performance &amp; full automation
📈 Perfect for Forex, Crypto, CFD &amp; Recovery brands
💳 Seamless PSP integration – more deposits, less hassle
🌟 **Your own branded website FREE with every deal**
🔥 Stop settling for average, level up NOW
💥 **Everything you need is waiting in my bio**</v>
      </c>
      <c r="B132" t="str">
        <v>B-1</v>
      </c>
      <c r="C132">
        <v>0</v>
      </c>
      <c r="D132" t="str">
        <v>ru</v>
      </c>
    </row>
    <row r="133" spans="1:4" x14ac:dyDescent="0.3">
      <c r="A133" t="str">
        <v>☑️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rezhunozhem  Butterflly_Knife</v>
      </c>
      <c r="B133" t="str">
        <v>B-1</v>
      </c>
      <c r="C133">
        <v>0</v>
      </c>
      <c r="D133" t="str">
        <v>ru</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Примеры</vt:lpstr>
      <vt:lpstr>Саммари</vt:lpstr>
      <vt:lpstr>То что идет на раг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Кальченко</dc:creator>
  <cp:lastModifiedBy>Кальченко Артем</cp:lastModifiedBy>
  <dcterms:created xsi:type="dcterms:W3CDTF">2015-06-05T18:19:34Z</dcterms:created>
  <dcterms:modified xsi:type="dcterms:W3CDTF">2026-08-22T19:14:07Z</dcterms:modified>
</cp:coreProperties>
</file>